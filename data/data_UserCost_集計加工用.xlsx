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C8DA9D3E-578D-4744-B49A-365F69EA3E41}" xr6:coauthVersionLast="47" xr6:coauthVersionMax="47" xr10:uidLastSave="{00000000-0000-0000-0000-000000000000}"/>
  <bookViews>
    <workbookView xWindow="-108" yWindow="-108" windowWidth="23256" windowHeight="12456" activeTab="1" xr2:uid="{1E8CBEA0-B07E-43F0-9BA1-B7E249EDD9B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2" l="1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7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M30" i="1" s="1"/>
  <c r="N29" i="1"/>
  <c r="N30" i="1"/>
  <c r="N31" i="1"/>
  <c r="N32" i="1"/>
  <c r="N33" i="1"/>
  <c r="N34" i="1"/>
  <c r="N35" i="1"/>
  <c r="M35" i="1" s="1"/>
  <c r="N36" i="1"/>
  <c r="M36" i="1" s="1"/>
  <c r="N2" i="1"/>
  <c r="N3" i="1"/>
  <c r="N4" i="1"/>
  <c r="N5" i="1"/>
  <c r="N6" i="1"/>
  <c r="M13" i="1" l="1"/>
  <c r="M14" i="1"/>
  <c r="M15" i="1"/>
  <c r="M16" i="1"/>
  <c r="M17" i="1"/>
  <c r="M18" i="1"/>
  <c r="M19" i="1"/>
  <c r="M20" i="1"/>
  <c r="M26" i="1"/>
  <c r="M27" i="1"/>
  <c r="M28" i="1"/>
  <c r="M29" i="1"/>
  <c r="M31" i="1"/>
  <c r="M32" i="1"/>
  <c r="M6" i="1"/>
  <c r="M8" i="1"/>
  <c r="M9" i="1"/>
  <c r="M7" i="1"/>
  <c r="M25" i="1"/>
  <c r="M24" i="1"/>
  <c r="M23" i="1"/>
  <c r="M11" i="1"/>
  <c r="M34" i="1"/>
  <c r="M22" i="1"/>
  <c r="M10" i="1"/>
  <c r="M12" i="1"/>
  <c r="M33" i="1"/>
  <c r="M21" i="1"/>
</calcChain>
</file>

<file path=xl/sharedStrings.xml><?xml version="1.0" encoding="utf-8"?>
<sst xmlns="http://schemas.openxmlformats.org/spreadsheetml/2006/main" count="42" uniqueCount="22">
  <si>
    <t>I</t>
    <phoneticPr fontId="1"/>
  </si>
  <si>
    <t>I_DEF</t>
    <phoneticPr fontId="1"/>
  </si>
  <si>
    <t>RY</t>
    <phoneticPr fontId="1"/>
  </si>
  <si>
    <t>Y_DEF</t>
    <phoneticPr fontId="1"/>
  </si>
  <si>
    <t>EC</t>
    <phoneticPr fontId="1"/>
  </si>
  <si>
    <t>E</t>
    <phoneticPr fontId="1"/>
  </si>
  <si>
    <t>H</t>
    <phoneticPr fontId="1"/>
  </si>
  <si>
    <t>r</t>
    <phoneticPr fontId="1"/>
  </si>
  <si>
    <t>Tau</t>
    <phoneticPr fontId="1"/>
  </si>
  <si>
    <t>Delta</t>
    <phoneticPr fontId="1"/>
  </si>
  <si>
    <t>Y</t>
    <phoneticPr fontId="1"/>
  </si>
  <si>
    <t>RK</t>
    <phoneticPr fontId="1"/>
  </si>
  <si>
    <t>RI</t>
    <phoneticPr fontId="1"/>
  </si>
  <si>
    <t>RK, I, RI, I_DEF: 民間</t>
    <rPh sb="18" eb="20">
      <t>ミンカン</t>
    </rPh>
    <phoneticPr fontId="1"/>
  </si>
  <si>
    <t>r: FRED月次の平均</t>
    <rPh sb="7" eb="9">
      <t>ゲツジ</t>
    </rPh>
    <rPh sb="10" eb="12">
      <t>ヘイキン</t>
    </rPh>
    <phoneticPr fontId="1"/>
  </si>
  <si>
    <t>Tau_org</t>
    <phoneticPr fontId="1"/>
  </si>
  <si>
    <t>法人税、住民税及び事業税(当期末)【百万円】</t>
  </si>
  <si>
    <t>税引前当期純利益(当期末)【百万円】</t>
  </si>
  <si>
    <t>NA</t>
    <phoneticPr fontId="1"/>
  </si>
  <si>
    <t>JIP_UC</t>
    <phoneticPr fontId="1"/>
  </si>
  <si>
    <t>SNA_UC</t>
    <phoneticPr fontId="1"/>
  </si>
  <si>
    <t>実効税率は法人企業統計データより</t>
    <rPh sb="0" eb="4">
      <t>ジッコウゼイリツ</t>
    </rPh>
    <rPh sb="5" eb="11">
      <t>ホウジンキギョウトウケイ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</si>
</sst>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9"/>
      <color theme="1"/>
      <name val="Meiryo UI"/>
      <family val="2"/>
      <charset val="128"/>
    </font>
    <font>
      <sz val="6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3" fontId="0" fillId="4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2112-8441-4E07-A3B1-B194ED639F13}">
  <dimension ref="A1:P32"/>
  <sheetViews>
    <sheetView workbookViewId="0">
      <selection activeCell="B2" sqref="B2"/>
    </sheetView>
  </sheetViews>
  <sheetFormatPr defaultRowHeight="12.6" x14ac:dyDescent="0.25"/>
  <cols>
    <col min="2" max="2" width="9.5546875" bestFit="1" customWidth="1"/>
  </cols>
  <sheetData>
    <row r="1" spans="1:16" x14ac:dyDescent="0.25">
      <c r="B1" s="1" t="s">
        <v>11</v>
      </c>
      <c r="C1" s="1" t="s">
        <v>0</v>
      </c>
      <c r="D1" s="1" t="s">
        <v>12</v>
      </c>
      <c r="E1" s="1" t="s">
        <v>1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19</v>
      </c>
      <c r="P1" s="1" t="s">
        <v>20</v>
      </c>
    </row>
    <row r="2" spans="1:16" x14ac:dyDescent="0.25">
      <c r="A2">
        <v>1994</v>
      </c>
      <c r="B2">
        <f>HLOOKUP(B$1,Sheet1!$B$1:$S$36,ROW()+4,FALSE)</f>
        <v>623503.9</v>
      </c>
      <c r="C2">
        <f>HLOOKUP(C$1,Sheet1!$B$1:$S$36,ROW()+4,FALSE)</f>
        <v>89003.3</v>
      </c>
      <c r="D2">
        <f>HLOOKUP(D$1,Sheet1!$B$1:$S$36,ROW()+4,FALSE)</f>
        <v>74650.899999999994</v>
      </c>
      <c r="E2">
        <f>HLOOKUP(E$1,Sheet1!$B$1:$S$36,ROW()+4,FALSE)</f>
        <v>119.2</v>
      </c>
      <c r="F2">
        <f>HLOOKUP(F$1,Sheet1!$B$1:$S$36,ROW()+4,FALSE)</f>
        <v>521675.1</v>
      </c>
      <c r="G2">
        <f>HLOOKUP(G$1,Sheet1!$B$1:$S$36,ROW()+4,FALSE)</f>
        <v>464267.4</v>
      </c>
      <c r="H2">
        <f>HLOOKUP(H$1,Sheet1!$B$1:$S$36,ROW()+4,FALSE)</f>
        <v>112.4</v>
      </c>
      <c r="I2">
        <f>HLOOKUP(I$1,Sheet1!$B$1:$S$36,ROW()+4,FALSE)</f>
        <v>261625.60000000001</v>
      </c>
      <c r="J2">
        <f>HLOOKUP(J$1,Sheet1!$B$1:$S$36,ROW()+4,FALSE)</f>
        <v>5356.5</v>
      </c>
      <c r="K2">
        <f>HLOOKUP(K$1,Sheet1!$B$1:$S$36,ROW()+4,FALSE)</f>
        <v>1909.1</v>
      </c>
      <c r="L2">
        <f>HLOOKUP(L$1,Sheet1!$B$1:$S$36,ROW()+4,FALSE)</f>
        <v>4.3633333333333324</v>
      </c>
      <c r="M2">
        <f>HLOOKUP(M$1,Sheet1!$B$1:$S$36,ROW()+4,FALSE)</f>
        <v>66.801580408687755</v>
      </c>
      <c r="N2" t="str">
        <f>HLOOKUP(N$1,Sheet1!$B$1:$S$36,ROW()+4,FALSE)</f>
        <v>NA</v>
      </c>
      <c r="O2">
        <f>HLOOKUP(O$1,Sheet1!$B$1:$S$36,ROW()+4,FALSE)</f>
        <v>139.42877195326787</v>
      </c>
      <c r="P2">
        <f>HLOOKUP(P$1,Sheet1!$B$1:$S$36,ROW()+4,FALSE)</f>
        <v>115.91812216510095</v>
      </c>
    </row>
    <row r="3" spans="1:16" x14ac:dyDescent="0.25">
      <c r="A3">
        <v>1995</v>
      </c>
      <c r="B3">
        <f>HLOOKUP(B$1,Sheet1!$B$1:$S$36,ROW()+4,FALSE)</f>
        <v>633070.19999999995</v>
      </c>
      <c r="C3">
        <f>HLOOKUP(C$1,Sheet1!$B$1:$S$36,ROW()+4,FALSE)</f>
        <v>91924.2</v>
      </c>
      <c r="D3">
        <f>HLOOKUP(D$1,Sheet1!$B$1:$S$36,ROW()+4,FALSE)</f>
        <v>78359.3</v>
      </c>
      <c r="E3">
        <f>HLOOKUP(E$1,Sheet1!$B$1:$S$36,ROW()+4,FALSE)</f>
        <v>117.3</v>
      </c>
      <c r="F3">
        <f>HLOOKUP(F$1,Sheet1!$B$1:$S$36,ROW()+4,FALSE)</f>
        <v>530463.19999999995</v>
      </c>
      <c r="G3">
        <f>HLOOKUP(G$1,Sheet1!$B$1:$S$36,ROW()+4,FALSE)</f>
        <v>475140.8</v>
      </c>
      <c r="H3">
        <f>HLOOKUP(H$1,Sheet1!$B$1:$S$36,ROW()+4,FALSE)</f>
        <v>111.6</v>
      </c>
      <c r="I3">
        <f>HLOOKUP(I$1,Sheet1!$B$1:$S$36,ROW()+4,FALSE)</f>
        <v>266004.09999999998</v>
      </c>
      <c r="J3">
        <f>HLOOKUP(J$1,Sheet1!$B$1:$S$36,ROW()+4,FALSE)</f>
        <v>5379.5</v>
      </c>
      <c r="K3">
        <f>HLOOKUP(K$1,Sheet1!$B$1:$S$36,ROW()+4,FALSE)</f>
        <v>1911.6</v>
      </c>
      <c r="L3">
        <f>HLOOKUP(L$1,Sheet1!$B$1:$S$36,ROW()+4,FALSE)</f>
        <v>3.4434999999999998</v>
      </c>
      <c r="M3">
        <f>HLOOKUP(M$1,Sheet1!$B$1:$S$36,ROW()+4,FALSE)</f>
        <v>69.36932371914088</v>
      </c>
      <c r="N3">
        <f>HLOOKUP(N$1,Sheet1!$B$1:$S$36,ROW()+4,FALSE)</f>
        <v>13.208882895519983</v>
      </c>
      <c r="O3">
        <f>HLOOKUP(O$1,Sheet1!$B$1:$S$36,ROW()+4,FALSE)</f>
        <v>139.50705134088565</v>
      </c>
      <c r="P3">
        <f>HLOOKUP(P$1,Sheet1!$B$1:$S$36,ROW()+4,FALSE)</f>
        <v>116.59329094382416</v>
      </c>
    </row>
    <row r="4" spans="1:16" x14ac:dyDescent="0.25">
      <c r="A4">
        <v>1996</v>
      </c>
      <c r="B4">
        <f>HLOOKUP(B$1,Sheet1!$B$1:$S$36,ROW()+4,FALSE)</f>
        <v>652745.4</v>
      </c>
      <c r="C4">
        <f>HLOOKUP(C$1,Sheet1!$B$1:$S$36,ROW()+4,FALSE)</f>
        <v>96951.9</v>
      </c>
      <c r="D4">
        <f>HLOOKUP(D$1,Sheet1!$B$1:$S$36,ROW()+4,FALSE)</f>
        <v>83554.8</v>
      </c>
      <c r="E4">
        <f>HLOOKUP(E$1,Sheet1!$B$1:$S$36,ROW()+4,FALSE)</f>
        <v>116</v>
      </c>
      <c r="F4">
        <f>HLOOKUP(F$1,Sheet1!$B$1:$S$36,ROW()+4,FALSE)</f>
        <v>546227.9</v>
      </c>
      <c r="G4">
        <f>HLOOKUP(G$1,Sheet1!$B$1:$S$36,ROW()+4,FALSE)</f>
        <v>489753.59999999998</v>
      </c>
      <c r="H4">
        <f>HLOOKUP(H$1,Sheet1!$B$1:$S$36,ROW()+4,FALSE)</f>
        <v>111.5</v>
      </c>
      <c r="I4">
        <f>HLOOKUP(I$1,Sheet1!$B$1:$S$36,ROW()+4,FALSE)</f>
        <v>270691.5</v>
      </c>
      <c r="J4">
        <f>HLOOKUP(J$1,Sheet1!$B$1:$S$36,ROW()+4,FALSE)</f>
        <v>5419</v>
      </c>
      <c r="K4">
        <f>HLOOKUP(K$1,Sheet1!$B$1:$S$36,ROW()+4,FALSE)</f>
        <v>1914.8</v>
      </c>
      <c r="L4">
        <f>HLOOKUP(L$1,Sheet1!$B$1:$S$36,ROW()+4,FALSE)</f>
        <v>3.1014999999999997</v>
      </c>
      <c r="M4">
        <f>HLOOKUP(M$1,Sheet1!$B$1:$S$36,ROW()+4,FALSE)</f>
        <v>70.614734744674337</v>
      </c>
      <c r="N4">
        <f>HLOOKUP(N$1,Sheet1!$B$1:$S$36,ROW()+4,FALSE)</f>
        <v>12.206655754764631</v>
      </c>
      <c r="O4">
        <f>HLOOKUP(O$1,Sheet1!$B$1:$S$36,ROW()+4,FALSE)</f>
        <v>142.60047858824123</v>
      </c>
      <c r="P4">
        <f>HLOOKUP(P$1,Sheet1!$B$1:$S$36,ROW()+4,FALSE)</f>
        <v>118.77844082873577</v>
      </c>
    </row>
    <row r="5" spans="1:16" x14ac:dyDescent="0.25">
      <c r="A5">
        <v>1997</v>
      </c>
      <c r="B5">
        <f>HLOOKUP(B$1,Sheet1!$B$1:$S$36,ROW()+4,FALSE)</f>
        <v>672576.7</v>
      </c>
      <c r="C5">
        <f>HLOOKUP(C$1,Sheet1!$B$1:$S$36,ROW()+4,FALSE)</f>
        <v>99717.6</v>
      </c>
      <c r="D5">
        <f>HLOOKUP(D$1,Sheet1!$B$1:$S$36,ROW()+4,FALSE)</f>
        <v>86803</v>
      </c>
      <c r="E5">
        <f>HLOOKUP(E$1,Sheet1!$B$1:$S$36,ROW()+4,FALSE)</f>
        <v>114.9</v>
      </c>
      <c r="F5">
        <f>HLOOKUP(F$1,Sheet1!$B$1:$S$36,ROW()+4,FALSE)</f>
        <v>554111.80000000005</v>
      </c>
      <c r="G5">
        <f>HLOOKUP(G$1,Sheet1!$B$1:$S$36,ROW()+4,FALSE)</f>
        <v>496428.79999999999</v>
      </c>
      <c r="H5">
        <f>HLOOKUP(H$1,Sheet1!$B$1:$S$36,ROW()+4,FALSE)</f>
        <v>111.6</v>
      </c>
      <c r="I5">
        <f>HLOOKUP(I$1,Sheet1!$B$1:$S$36,ROW()+4,FALSE)</f>
        <v>278752.5</v>
      </c>
      <c r="J5">
        <f>HLOOKUP(J$1,Sheet1!$B$1:$S$36,ROW()+4,FALSE)</f>
        <v>5469.7</v>
      </c>
      <c r="K5">
        <f>HLOOKUP(K$1,Sheet1!$B$1:$S$36,ROW()+4,FALSE)</f>
        <v>1887.1</v>
      </c>
      <c r="L5">
        <f>HLOOKUP(L$1,Sheet1!$B$1:$S$36,ROW()+4,FALSE)</f>
        <v>2.3736666666666664</v>
      </c>
      <c r="M5">
        <f>HLOOKUP(M$1,Sheet1!$B$1:$S$36,ROW()+4,FALSE)</f>
        <v>69.792998326645943</v>
      </c>
      <c r="N5">
        <f>HLOOKUP(N$1,Sheet1!$B$1:$S$36,ROW()+4,FALSE)</f>
        <v>12.238508306607759</v>
      </c>
      <c r="O5">
        <f>HLOOKUP(O$1,Sheet1!$B$1:$S$36,ROW()+4,FALSE)</f>
        <v>137.1518766702539</v>
      </c>
      <c r="P5">
        <f>HLOOKUP(P$1,Sheet1!$B$1:$S$36,ROW()+4,FALSE)</f>
        <v>114.73486845321035</v>
      </c>
    </row>
    <row r="6" spans="1:16" x14ac:dyDescent="0.25">
      <c r="A6">
        <v>1998</v>
      </c>
      <c r="B6">
        <f>HLOOKUP(B$1,Sheet1!$B$1:$S$36,ROW()+4,FALSE)</f>
        <v>683061</v>
      </c>
      <c r="C6">
        <f>HLOOKUP(C$1,Sheet1!$B$1:$S$36,ROW()+4,FALSE)</f>
        <v>94245.8</v>
      </c>
      <c r="D6">
        <f>HLOOKUP(D$1,Sheet1!$B$1:$S$36,ROW()+4,FALSE)</f>
        <v>83086</v>
      </c>
      <c r="E6">
        <f>HLOOKUP(E$1,Sheet1!$B$1:$S$36,ROW()+4,FALSE)</f>
        <v>113.4</v>
      </c>
      <c r="F6">
        <f>HLOOKUP(F$1,Sheet1!$B$1:$S$36,ROW()+4,FALSE)</f>
        <v>543304</v>
      </c>
      <c r="G6">
        <f>HLOOKUP(G$1,Sheet1!$B$1:$S$36,ROW()+4,FALSE)</f>
        <v>487628.9</v>
      </c>
      <c r="H6">
        <f>HLOOKUP(H$1,Sheet1!$B$1:$S$36,ROW()+4,FALSE)</f>
        <v>111.4</v>
      </c>
      <c r="I6">
        <f>HLOOKUP(I$1,Sheet1!$B$1:$S$36,ROW()+4,FALSE)</f>
        <v>274573.3</v>
      </c>
      <c r="J6">
        <f>HLOOKUP(J$1,Sheet1!$B$1:$S$36,ROW()+4,FALSE)</f>
        <v>5425.5</v>
      </c>
      <c r="K6">
        <f>HLOOKUP(K$1,Sheet1!$B$1:$S$36,ROW()+4,FALSE)</f>
        <v>1866.5</v>
      </c>
      <c r="L6">
        <f>HLOOKUP(L$1,Sheet1!$B$1:$S$36,ROW()+4,FALSE)</f>
        <v>1.5414166666666667</v>
      </c>
      <c r="M6">
        <f>HLOOKUP(M$1,Sheet1!$B$1:$S$36,ROW()+4,FALSE)</f>
        <v>74.795047140603103</v>
      </c>
      <c r="N6">
        <f>HLOOKUP(N$1,Sheet1!$B$1:$S$36,ROW()+4,FALSE)</f>
        <v>12.45382125191075</v>
      </c>
      <c r="O6">
        <f>HLOOKUP(O$1,Sheet1!$B$1:$S$36,ROW()+4,FALSE)</f>
        <v>132.52291195854036</v>
      </c>
      <c r="P6">
        <f>HLOOKUP(P$1,Sheet1!$B$1:$S$36,ROW()+4,FALSE)</f>
        <v>108.89329627455095</v>
      </c>
    </row>
    <row r="7" spans="1:16" x14ac:dyDescent="0.25">
      <c r="A7">
        <v>1999</v>
      </c>
      <c r="B7">
        <f>HLOOKUP(B$1,Sheet1!$B$1:$S$36,ROW()+4,FALSE)</f>
        <v>690962.4</v>
      </c>
      <c r="C7">
        <f>HLOOKUP(C$1,Sheet1!$B$1:$S$36,ROW()+4,FALSE)</f>
        <v>87750.6</v>
      </c>
      <c r="D7">
        <f>HLOOKUP(D$1,Sheet1!$B$1:$S$36,ROW()+4,FALSE)</f>
        <v>78994.3</v>
      </c>
      <c r="E7">
        <f>HLOOKUP(E$1,Sheet1!$B$1:$S$36,ROW()+4,FALSE)</f>
        <v>111.1</v>
      </c>
      <c r="F7">
        <f>HLOOKUP(F$1,Sheet1!$B$1:$S$36,ROW()+4,FALSE)</f>
        <v>534107.1</v>
      </c>
      <c r="G7">
        <f>HLOOKUP(G$1,Sheet1!$B$1:$S$36,ROW()+4,FALSE)</f>
        <v>485933.9</v>
      </c>
      <c r="H7">
        <f>HLOOKUP(H$1,Sheet1!$B$1:$S$36,ROW()+4,FALSE)</f>
        <v>109.9</v>
      </c>
      <c r="I7">
        <f>HLOOKUP(I$1,Sheet1!$B$1:$S$36,ROW()+4,FALSE)</f>
        <v>269253.2</v>
      </c>
      <c r="J7">
        <f>HLOOKUP(J$1,Sheet1!$B$1:$S$36,ROW()+4,FALSE)</f>
        <v>5368.7</v>
      </c>
      <c r="K7">
        <f>HLOOKUP(K$1,Sheet1!$B$1:$S$36,ROW()+4,FALSE)</f>
        <v>1850.9</v>
      </c>
      <c r="L7">
        <f>HLOOKUP(L$1,Sheet1!$B$1:$S$36,ROW()+4,FALSE)</f>
        <v>1.7489999999999999</v>
      </c>
      <c r="M7">
        <f>HLOOKUP(M$1,Sheet1!$B$1:$S$36,ROW()+4,FALSE)</f>
        <v>76.159037577065462</v>
      </c>
      <c r="N7">
        <f>HLOOKUP(N$1,Sheet1!$B$1:$S$36,ROW()+4,FALSE)</f>
        <v>11.689907636360436</v>
      </c>
      <c r="O7">
        <f>HLOOKUP(O$1,Sheet1!$B$1:$S$36,ROW()+4,FALSE)</f>
        <v>138.05374210611262</v>
      </c>
      <c r="P7">
        <f>HLOOKUP(P$1,Sheet1!$B$1:$S$36,ROW()+4,FALSE)</f>
        <v>106.85169487578641</v>
      </c>
    </row>
    <row r="8" spans="1:16" x14ac:dyDescent="0.25">
      <c r="A8">
        <v>2000</v>
      </c>
      <c r="B8">
        <f>HLOOKUP(B$1,Sheet1!$B$1:$S$36,ROW()+4,FALSE)</f>
        <v>701749.3</v>
      </c>
      <c r="C8">
        <f>HLOOKUP(C$1,Sheet1!$B$1:$S$36,ROW()+4,FALSE)</f>
        <v>93225.3</v>
      </c>
      <c r="D8">
        <f>HLOOKUP(D$1,Sheet1!$B$1:$S$36,ROW()+4,FALSE)</f>
        <v>84580.9</v>
      </c>
      <c r="E8">
        <f>HLOOKUP(E$1,Sheet1!$B$1:$S$36,ROW()+4,FALSE)</f>
        <v>110.2</v>
      </c>
      <c r="F8">
        <f>HLOOKUP(F$1,Sheet1!$B$1:$S$36,ROW()+4,FALSE)</f>
        <v>543394.80000000005</v>
      </c>
      <c r="G8">
        <f>HLOOKUP(G$1,Sheet1!$B$1:$S$36,ROW()+4,FALSE)</f>
        <v>500406.6</v>
      </c>
      <c r="H8">
        <f>HLOOKUP(H$1,Sheet1!$B$1:$S$36,ROW()+4,FALSE)</f>
        <v>108.6</v>
      </c>
      <c r="I8">
        <f>HLOOKUP(I$1,Sheet1!$B$1:$S$36,ROW()+4,FALSE)</f>
        <v>269891.90000000002</v>
      </c>
      <c r="J8">
        <f>HLOOKUP(J$1,Sheet1!$B$1:$S$36,ROW()+4,FALSE)</f>
        <v>5374.6</v>
      </c>
      <c r="K8">
        <f>HLOOKUP(K$1,Sheet1!$B$1:$S$36,ROW()+4,FALSE)</f>
        <v>1858.5</v>
      </c>
      <c r="L8">
        <f>HLOOKUP(L$1,Sheet1!$B$1:$S$36,ROW()+4,FALSE)</f>
        <v>1.7444166666666667</v>
      </c>
      <c r="M8">
        <f>HLOOKUP(M$1,Sheet1!$B$1:$S$36,ROW()+4,FALSE)</f>
        <v>74.67910291046482</v>
      </c>
      <c r="N8">
        <f>HLOOKUP(N$1,Sheet1!$B$1:$S$36,ROW()+4,FALSE)</f>
        <v>11.930953116985819</v>
      </c>
      <c r="O8">
        <f>HLOOKUP(O$1,Sheet1!$B$1:$S$36,ROW()+4,FALSE)</f>
        <v>136.45259586783763</v>
      </c>
      <c r="P8">
        <f>HLOOKUP(P$1,Sheet1!$B$1:$S$36,ROW()+4,FALSE)</f>
        <v>109.76496758864</v>
      </c>
    </row>
    <row r="9" spans="1:16" x14ac:dyDescent="0.25">
      <c r="A9">
        <v>2001</v>
      </c>
      <c r="B9">
        <f>HLOOKUP(B$1,Sheet1!$B$1:$S$36,ROW()+4,FALSE)</f>
        <v>710804.9</v>
      </c>
      <c r="C9">
        <f>HLOOKUP(C$1,Sheet1!$B$1:$S$36,ROW()+4,FALSE)</f>
        <v>91053.1</v>
      </c>
      <c r="D9">
        <f>HLOOKUP(D$1,Sheet1!$B$1:$S$36,ROW()+4,FALSE)</f>
        <v>84581.6</v>
      </c>
      <c r="E9">
        <f>HLOOKUP(E$1,Sheet1!$B$1:$S$36,ROW()+4,FALSE)</f>
        <v>107.7</v>
      </c>
      <c r="F9">
        <f>HLOOKUP(F$1,Sheet1!$B$1:$S$36,ROW()+4,FALSE)</f>
        <v>539441.6</v>
      </c>
      <c r="G9">
        <f>HLOOKUP(G$1,Sheet1!$B$1:$S$36,ROW()+4,FALSE)</f>
        <v>501830.8</v>
      </c>
      <c r="H9">
        <f>HLOOKUP(H$1,Sheet1!$B$1:$S$36,ROW()+4,FALSE)</f>
        <v>107.5</v>
      </c>
      <c r="I9">
        <f>HLOOKUP(I$1,Sheet1!$B$1:$S$36,ROW()+4,FALSE)</f>
        <v>266607.5</v>
      </c>
      <c r="J9">
        <f>HLOOKUP(J$1,Sheet1!$B$1:$S$36,ROW()+4,FALSE)</f>
        <v>5391.9</v>
      </c>
      <c r="K9">
        <f>HLOOKUP(K$1,Sheet1!$B$1:$S$36,ROW()+4,FALSE)</f>
        <v>1843.1</v>
      </c>
      <c r="L9">
        <f>HLOOKUP(L$1,Sheet1!$B$1:$S$36,ROW()+4,FALSE)</f>
        <v>1.319</v>
      </c>
      <c r="M9">
        <f>HLOOKUP(M$1,Sheet1!$B$1:$S$36,ROW()+4,FALSE)</f>
        <v>83.347312779357821</v>
      </c>
      <c r="N9">
        <f>HLOOKUP(N$1,Sheet1!$B$1:$S$36,ROW()+4,FALSE)</f>
        <v>11.684728435069331</v>
      </c>
      <c r="O9">
        <f>HLOOKUP(O$1,Sheet1!$B$1:$S$36,ROW()+4,FALSE)</f>
        <v>130.96654639043743</v>
      </c>
      <c r="P9">
        <f>HLOOKUP(P$1,Sheet1!$B$1:$S$36,ROW()+4,FALSE)</f>
        <v>106.52618807197598</v>
      </c>
    </row>
    <row r="10" spans="1:16" x14ac:dyDescent="0.25">
      <c r="A10">
        <v>2002</v>
      </c>
      <c r="B10">
        <f>HLOOKUP(B$1,Sheet1!$B$1:$S$36,ROW()+4,FALSE)</f>
        <v>713480.3</v>
      </c>
      <c r="C10">
        <f>HLOOKUP(C$1,Sheet1!$B$1:$S$36,ROW()+4,FALSE)</f>
        <v>84640.2</v>
      </c>
      <c r="D10">
        <f>HLOOKUP(D$1,Sheet1!$B$1:$S$36,ROW()+4,FALSE)</f>
        <v>80298.3</v>
      </c>
      <c r="E10">
        <f>HLOOKUP(E$1,Sheet1!$B$1:$S$36,ROW()+4,FALSE)</f>
        <v>105.4</v>
      </c>
      <c r="F10">
        <f>HLOOKUP(F$1,Sheet1!$B$1:$S$36,ROW()+4,FALSE)</f>
        <v>532390.80000000005</v>
      </c>
      <c r="G10">
        <f>HLOOKUP(G$1,Sheet1!$B$1:$S$36,ROW()+4,FALSE)</f>
        <v>502257.3</v>
      </c>
      <c r="H10">
        <f>HLOOKUP(H$1,Sheet1!$B$1:$S$36,ROW()+4,FALSE)</f>
        <v>106</v>
      </c>
      <c r="I10">
        <f>HLOOKUP(I$1,Sheet1!$B$1:$S$36,ROW()+4,FALSE)</f>
        <v>257436.79999999999</v>
      </c>
      <c r="J10">
        <f>HLOOKUP(J$1,Sheet1!$B$1:$S$36,ROW()+4,FALSE)</f>
        <v>5352.4</v>
      </c>
      <c r="K10">
        <f>HLOOKUP(K$1,Sheet1!$B$1:$S$36,ROW()+4,FALSE)</f>
        <v>1830.6</v>
      </c>
      <c r="L10">
        <f>HLOOKUP(L$1,Sheet1!$B$1:$S$36,ROW()+4,FALSE)</f>
        <v>1.2631666666666665</v>
      </c>
      <c r="M10">
        <f>HLOOKUP(M$1,Sheet1!$B$1:$S$36,ROW()+4,FALSE)</f>
        <v>84.175727827213876</v>
      </c>
      <c r="N10">
        <f>HLOOKUP(N$1,Sheet1!$B$1:$S$36,ROW()+4,FALSE)</f>
        <v>11.531265471017424</v>
      </c>
      <c r="O10">
        <f>HLOOKUP(O$1,Sheet1!$B$1:$S$36,ROW()+4,FALSE)</f>
        <v>128.67925922409717</v>
      </c>
      <c r="P10">
        <f>HLOOKUP(P$1,Sheet1!$B$1:$S$36,ROW()+4,FALSE)</f>
        <v>109.04434576480895</v>
      </c>
    </row>
    <row r="11" spans="1:16" x14ac:dyDescent="0.25">
      <c r="A11">
        <v>2003</v>
      </c>
      <c r="B11">
        <f>HLOOKUP(B$1,Sheet1!$B$1:$S$36,ROW()+4,FALSE)</f>
        <v>716599</v>
      </c>
      <c r="C11">
        <f>HLOOKUP(C$1,Sheet1!$B$1:$S$36,ROW()+4,FALSE)</f>
        <v>83039.7</v>
      </c>
      <c r="D11">
        <f>HLOOKUP(D$1,Sheet1!$B$1:$S$36,ROW()+4,FALSE)</f>
        <v>80787.3</v>
      </c>
      <c r="E11">
        <f>HLOOKUP(E$1,Sheet1!$B$1:$S$36,ROW()+4,FALSE)</f>
        <v>102.8</v>
      </c>
      <c r="F11">
        <f>HLOOKUP(F$1,Sheet1!$B$1:$S$36,ROW()+4,FALSE)</f>
        <v>530211.80000000005</v>
      </c>
      <c r="G11">
        <f>HLOOKUP(G$1,Sheet1!$B$1:$S$36,ROW()+4,FALSE)</f>
        <v>509189</v>
      </c>
      <c r="H11">
        <f>HLOOKUP(H$1,Sheet1!$B$1:$S$36,ROW()+4,FALSE)</f>
        <v>104.1</v>
      </c>
      <c r="I11">
        <f>HLOOKUP(I$1,Sheet1!$B$1:$S$36,ROW()+4,FALSE)</f>
        <v>255183.6</v>
      </c>
      <c r="J11">
        <f>HLOOKUP(J$1,Sheet1!$B$1:$S$36,ROW()+4,FALSE)</f>
        <v>5369.6</v>
      </c>
      <c r="K11">
        <f>HLOOKUP(K$1,Sheet1!$B$1:$S$36,ROW()+4,FALSE)</f>
        <v>1834.2</v>
      </c>
      <c r="L11">
        <f>HLOOKUP(L$1,Sheet1!$B$1:$S$36,ROW()+4,FALSE)</f>
        <v>1.00325</v>
      </c>
      <c r="M11">
        <f>HLOOKUP(M$1,Sheet1!$B$1:$S$36,ROW()+4,FALSE)</f>
        <v>73.720975996733998</v>
      </c>
      <c r="N11">
        <f>HLOOKUP(N$1,Sheet1!$B$1:$S$36,ROW()+4,FALSE)</f>
        <v>11.201570667052755</v>
      </c>
      <c r="O11">
        <f>HLOOKUP(O$1,Sheet1!$B$1:$S$36,ROW()+4,FALSE)</f>
        <v>122.02201318005157</v>
      </c>
      <c r="P11">
        <f>HLOOKUP(P$1,Sheet1!$B$1:$S$36,ROW()+4,FALSE)</f>
        <v>110.48406112166347</v>
      </c>
    </row>
    <row r="12" spans="1:16" x14ac:dyDescent="0.25">
      <c r="A12">
        <v>2004</v>
      </c>
      <c r="B12">
        <f>HLOOKUP(B$1,Sheet1!$B$1:$S$36,ROW()+4,FALSE)</f>
        <v>722919.2</v>
      </c>
      <c r="C12">
        <f>HLOOKUP(C$1,Sheet1!$B$1:$S$36,ROW()+4,FALSE)</f>
        <v>83687.100000000006</v>
      </c>
      <c r="D12">
        <f>HLOOKUP(D$1,Sheet1!$B$1:$S$36,ROW()+4,FALSE)</f>
        <v>82738.3</v>
      </c>
      <c r="E12">
        <f>HLOOKUP(E$1,Sheet1!$B$1:$S$36,ROW()+4,FALSE)</f>
        <v>101.1</v>
      </c>
      <c r="F12">
        <f>HLOOKUP(F$1,Sheet1!$B$1:$S$36,ROW()+4,FALSE)</f>
        <v>534634.1</v>
      </c>
      <c r="G12">
        <f>HLOOKUP(G$1,Sheet1!$B$1:$S$36,ROW()+4,FALSE)</f>
        <v>519947.9</v>
      </c>
      <c r="H12">
        <f>HLOOKUP(H$1,Sheet1!$B$1:$S$36,ROW()+4,FALSE)</f>
        <v>102.8</v>
      </c>
      <c r="I12">
        <f>HLOOKUP(I$1,Sheet1!$B$1:$S$36,ROW()+4,FALSE)</f>
        <v>256593.3</v>
      </c>
      <c r="J12">
        <f>HLOOKUP(J$1,Sheet1!$B$1:$S$36,ROW()+4,FALSE)</f>
        <v>5404.3</v>
      </c>
      <c r="K12">
        <f>HLOOKUP(K$1,Sheet1!$B$1:$S$36,ROW()+4,FALSE)</f>
        <v>1842.7</v>
      </c>
      <c r="L12">
        <f>HLOOKUP(L$1,Sheet1!$B$1:$S$36,ROW()+4,FALSE)</f>
        <v>1.4926666666666666</v>
      </c>
      <c r="M12">
        <f>HLOOKUP(M$1,Sheet1!$B$1:$S$36,ROW()+4,FALSE)</f>
        <v>66.741303875393172</v>
      </c>
      <c r="N12">
        <f>HLOOKUP(N$1,Sheet1!$B$1:$S$36,ROW()+4,FALSE)</f>
        <v>10.796400776445408</v>
      </c>
      <c r="O12">
        <f>HLOOKUP(O$1,Sheet1!$B$1:$S$36,ROW()+4,FALSE)</f>
        <v>122.84082339794899</v>
      </c>
      <c r="P12">
        <f>HLOOKUP(P$1,Sheet1!$B$1:$S$36,ROW()+4,FALSE)</f>
        <v>111.52845423737099</v>
      </c>
    </row>
    <row r="13" spans="1:16" x14ac:dyDescent="0.25">
      <c r="A13">
        <v>2005</v>
      </c>
      <c r="B13">
        <f>HLOOKUP(B$1,Sheet1!$B$1:$S$36,ROW()+4,FALSE)</f>
        <v>733117.8</v>
      </c>
      <c r="C13">
        <f>HLOOKUP(C$1,Sheet1!$B$1:$S$36,ROW()+4,FALSE)</f>
        <v>89354</v>
      </c>
      <c r="D13">
        <f>HLOOKUP(D$1,Sheet1!$B$1:$S$36,ROW()+4,FALSE)</f>
        <v>88812.1</v>
      </c>
      <c r="E13">
        <f>HLOOKUP(E$1,Sheet1!$B$1:$S$36,ROW()+4,FALSE)</f>
        <v>100.6</v>
      </c>
      <c r="F13">
        <f>HLOOKUP(F$1,Sheet1!$B$1:$S$36,ROW()+4,FALSE)</f>
        <v>537385.19999999995</v>
      </c>
      <c r="G13">
        <f>HLOOKUP(G$1,Sheet1!$B$1:$S$36,ROW()+4,FALSE)</f>
        <v>529558</v>
      </c>
      <c r="H13">
        <f>HLOOKUP(H$1,Sheet1!$B$1:$S$36,ROW()+4,FALSE)</f>
        <v>101.5</v>
      </c>
      <c r="I13">
        <f>HLOOKUP(I$1,Sheet1!$B$1:$S$36,ROW()+4,FALSE)</f>
        <v>261326.4</v>
      </c>
      <c r="J13">
        <f>HLOOKUP(J$1,Sheet1!$B$1:$S$36,ROW()+4,FALSE)</f>
        <v>5466.8</v>
      </c>
      <c r="K13">
        <f>HLOOKUP(K$1,Sheet1!$B$1:$S$36,ROW()+4,FALSE)</f>
        <v>1830.5</v>
      </c>
      <c r="L13">
        <f>HLOOKUP(L$1,Sheet1!$B$1:$S$36,ROW()+4,FALSE)</f>
        <v>1.3547499999999999</v>
      </c>
      <c r="M13">
        <f>HLOOKUP(M$1,Sheet1!$B$1:$S$36,ROW()+4,FALSE)</f>
        <v>64.058618712584206</v>
      </c>
      <c r="N13">
        <f>HLOOKUP(N$1,Sheet1!$B$1:$S$36,ROW()+4,FALSE)</f>
        <v>10.949411773819246</v>
      </c>
      <c r="O13">
        <f>HLOOKUP(O$1,Sheet1!$B$1:$S$36,ROW()+4,FALSE)</f>
        <v>119.48426415799334</v>
      </c>
      <c r="P13">
        <f>HLOOKUP(P$1,Sheet1!$B$1:$S$36,ROW()+4,FALSE)</f>
        <v>109.66542008562612</v>
      </c>
    </row>
    <row r="14" spans="1:16" x14ac:dyDescent="0.25">
      <c r="A14">
        <v>2006</v>
      </c>
      <c r="B14">
        <f>HLOOKUP(B$1,Sheet1!$B$1:$S$36,ROW()+4,FALSE)</f>
        <v>744573.5</v>
      </c>
      <c r="C14">
        <f>HLOOKUP(C$1,Sheet1!$B$1:$S$36,ROW()+4,FALSE)</f>
        <v>91710.1</v>
      </c>
      <c r="D14">
        <f>HLOOKUP(D$1,Sheet1!$B$1:$S$36,ROW()+4,FALSE)</f>
        <v>90929.3</v>
      </c>
      <c r="E14">
        <f>HLOOKUP(E$1,Sheet1!$B$1:$S$36,ROW()+4,FALSE)</f>
        <v>100.9</v>
      </c>
      <c r="F14">
        <f>HLOOKUP(F$1,Sheet1!$B$1:$S$36,ROW()+4,FALSE)</f>
        <v>540566</v>
      </c>
      <c r="G14">
        <f>HLOOKUP(G$1,Sheet1!$B$1:$S$36,ROW()+4,FALSE)</f>
        <v>537746.6</v>
      </c>
      <c r="H14">
        <f>HLOOKUP(H$1,Sheet1!$B$1:$S$36,ROW()+4,FALSE)</f>
        <v>100.5</v>
      </c>
      <c r="I14">
        <f>HLOOKUP(I$1,Sheet1!$B$1:$S$36,ROW()+4,FALSE)</f>
        <v>266138.09999999998</v>
      </c>
      <c r="J14">
        <f>HLOOKUP(J$1,Sheet1!$B$1:$S$36,ROW()+4,FALSE)</f>
        <v>5570.5</v>
      </c>
      <c r="K14">
        <f>HLOOKUP(K$1,Sheet1!$B$1:$S$36,ROW()+4,FALSE)</f>
        <v>1837.3</v>
      </c>
      <c r="L14">
        <f>HLOOKUP(L$1,Sheet1!$B$1:$S$36,ROW()+4,FALSE)</f>
        <v>1.7404999999999999</v>
      </c>
      <c r="M14">
        <f>HLOOKUP(M$1,Sheet1!$B$1:$S$36,ROW()+4,FALSE)</f>
        <v>50.535091860347052</v>
      </c>
      <c r="N14">
        <f>HLOOKUP(N$1,Sheet1!$B$1:$S$36,ROW()+4,FALSE)</f>
        <v>10.94699924077686</v>
      </c>
      <c r="O14">
        <f>HLOOKUP(O$1,Sheet1!$B$1:$S$36,ROW()+4,FALSE)</f>
        <v>127.96440634732191</v>
      </c>
      <c r="P14">
        <f>HLOOKUP(P$1,Sheet1!$B$1:$S$36,ROW()+4,FALSE)</f>
        <v>105.25223764160587</v>
      </c>
    </row>
    <row r="15" spans="1:16" x14ac:dyDescent="0.25">
      <c r="A15">
        <v>2007</v>
      </c>
      <c r="B15">
        <f>HLOOKUP(B$1,Sheet1!$B$1:$S$36,ROW()+4,FALSE)</f>
        <v>755589.5</v>
      </c>
      <c r="C15">
        <f>HLOOKUP(C$1,Sheet1!$B$1:$S$36,ROW()+4,FALSE)</f>
        <v>92758.7</v>
      </c>
      <c r="D15">
        <f>HLOOKUP(D$1,Sheet1!$B$1:$S$36,ROW()+4,FALSE)</f>
        <v>92376.5</v>
      </c>
      <c r="E15">
        <f>HLOOKUP(E$1,Sheet1!$B$1:$S$36,ROW()+4,FALSE)</f>
        <v>100.4</v>
      </c>
      <c r="F15">
        <f>HLOOKUP(F$1,Sheet1!$B$1:$S$36,ROW()+4,FALSE)</f>
        <v>544571.1</v>
      </c>
      <c r="G15">
        <f>HLOOKUP(G$1,Sheet1!$B$1:$S$36,ROW()+4,FALSE)</f>
        <v>547040.9</v>
      </c>
      <c r="H15">
        <f>HLOOKUP(H$1,Sheet1!$B$1:$S$36,ROW()+4,FALSE)</f>
        <v>99.5</v>
      </c>
      <c r="I15">
        <f>HLOOKUP(I$1,Sheet1!$B$1:$S$36,ROW()+4,FALSE)</f>
        <v>267694.3</v>
      </c>
      <c r="J15">
        <f>HLOOKUP(J$1,Sheet1!$B$1:$S$36,ROW()+4,FALSE)</f>
        <v>5643.5</v>
      </c>
      <c r="K15">
        <f>HLOOKUP(K$1,Sheet1!$B$1:$S$36,ROW()+4,FALSE)</f>
        <v>1826.7</v>
      </c>
      <c r="L15">
        <f>HLOOKUP(L$1,Sheet1!$B$1:$S$36,ROW()+4,FALSE)</f>
        <v>1.6655</v>
      </c>
      <c r="M15">
        <f>HLOOKUP(M$1,Sheet1!$B$1:$S$36,ROW()+4,FALSE)</f>
        <v>45.586588501095854</v>
      </c>
      <c r="N15">
        <f>HLOOKUP(N$1,Sheet1!$B$1:$S$36,ROW()+4,FALSE)</f>
        <v>10.978459480494532</v>
      </c>
      <c r="O15">
        <f>HLOOKUP(O$1,Sheet1!$B$1:$S$36,ROW()+4,FALSE)</f>
        <v>130.01431166091476</v>
      </c>
      <c r="P15">
        <f>HLOOKUP(P$1,Sheet1!$B$1:$S$36,ROW()+4,FALSE)</f>
        <v>104.82424166365161</v>
      </c>
    </row>
    <row r="16" spans="1:16" x14ac:dyDescent="0.25">
      <c r="A16">
        <v>2008</v>
      </c>
      <c r="B16">
        <f>HLOOKUP(B$1,Sheet1!$B$1:$S$36,ROW()+4,FALSE)</f>
        <v>761944.2</v>
      </c>
      <c r="C16">
        <f>HLOOKUP(C$1,Sheet1!$B$1:$S$36,ROW()+4,FALSE)</f>
        <v>90952.9</v>
      </c>
      <c r="D16">
        <f>HLOOKUP(D$1,Sheet1!$B$1:$S$36,ROW()+4,FALSE)</f>
        <v>89951.7</v>
      </c>
      <c r="E16">
        <f>HLOOKUP(E$1,Sheet1!$B$1:$S$36,ROW()+4,FALSE)</f>
        <v>101.1</v>
      </c>
      <c r="F16">
        <f>HLOOKUP(F$1,Sheet1!$B$1:$S$36,ROW()+4,FALSE)</f>
        <v>533355.4</v>
      </c>
      <c r="G16">
        <f>HLOOKUP(G$1,Sheet1!$B$1:$S$36,ROW()+4,FALSE)</f>
        <v>540659</v>
      </c>
      <c r="H16">
        <f>HLOOKUP(H$1,Sheet1!$B$1:$S$36,ROW()+4,FALSE)</f>
        <v>98.6</v>
      </c>
      <c r="I16">
        <f>HLOOKUP(I$1,Sheet1!$B$1:$S$36,ROW()+4,FALSE)</f>
        <v>267968.90000000002</v>
      </c>
      <c r="J16">
        <f>HLOOKUP(J$1,Sheet1!$B$1:$S$36,ROW()+4,FALSE)</f>
        <v>5665.1</v>
      </c>
      <c r="K16">
        <f>HLOOKUP(K$1,Sheet1!$B$1:$S$36,ROW()+4,FALSE)</f>
        <v>1805.3</v>
      </c>
      <c r="L16">
        <f>HLOOKUP(L$1,Sheet1!$B$1:$S$36,ROW()+4,FALSE)</f>
        <v>1.4673333333333334</v>
      </c>
      <c r="M16">
        <f>HLOOKUP(M$1,Sheet1!$B$1:$S$36,ROW()+4,FALSE)</f>
        <v>48.12649710260915</v>
      </c>
      <c r="N16">
        <f>HLOOKUP(N$1,Sheet1!$B$1:$S$36,ROW()+4,FALSE)</f>
        <v>11.196317577202974</v>
      </c>
      <c r="O16">
        <f>HLOOKUP(O$1,Sheet1!$B$1:$S$36,ROW()+4,FALSE)</f>
        <v>130.87576816991893</v>
      </c>
      <c r="P16">
        <f>HLOOKUP(P$1,Sheet1!$B$1:$S$36,ROW()+4,FALSE)</f>
        <v>96.279386507683114</v>
      </c>
    </row>
    <row r="17" spans="1:16" x14ac:dyDescent="0.25">
      <c r="A17">
        <v>2009</v>
      </c>
      <c r="B17">
        <f>HLOOKUP(B$1,Sheet1!$B$1:$S$36,ROW()+4,FALSE)</f>
        <v>754070.8</v>
      </c>
      <c r="C17">
        <f>HLOOKUP(C$1,Sheet1!$B$1:$S$36,ROW()+4,FALSE)</f>
        <v>77307.600000000006</v>
      </c>
      <c r="D17">
        <f>HLOOKUP(D$1,Sheet1!$B$1:$S$36,ROW()+4,FALSE)</f>
        <v>78443.3</v>
      </c>
      <c r="E17">
        <f>HLOOKUP(E$1,Sheet1!$B$1:$S$36,ROW()+4,FALSE)</f>
        <v>98.6</v>
      </c>
      <c r="F17">
        <f>HLOOKUP(F$1,Sheet1!$B$1:$S$36,ROW()+4,FALSE)</f>
        <v>499361.7</v>
      </c>
      <c r="G17">
        <f>HLOOKUP(G$1,Sheet1!$B$1:$S$36,ROW()+4,FALSE)</f>
        <v>508565.8</v>
      </c>
      <c r="H17">
        <f>HLOOKUP(H$1,Sheet1!$B$1:$S$36,ROW()+4,FALSE)</f>
        <v>98.2</v>
      </c>
      <c r="I17">
        <f>HLOOKUP(I$1,Sheet1!$B$1:$S$36,ROW()+4,FALSE)</f>
        <v>254795.6</v>
      </c>
      <c r="J17">
        <f>HLOOKUP(J$1,Sheet1!$B$1:$S$36,ROW()+4,FALSE)</f>
        <v>5625.6</v>
      </c>
      <c r="K17">
        <f>HLOOKUP(K$1,Sheet1!$B$1:$S$36,ROW()+4,FALSE)</f>
        <v>1756.8</v>
      </c>
      <c r="L17">
        <f>HLOOKUP(L$1,Sheet1!$B$1:$S$36,ROW()+4,FALSE)</f>
        <v>1.33375</v>
      </c>
      <c r="M17">
        <f>HLOOKUP(M$1,Sheet1!$B$1:$S$36,ROW()+4,FALSE)</f>
        <v>50.48465613639442</v>
      </c>
      <c r="N17">
        <f>HLOOKUP(N$1,Sheet1!$B$1:$S$36,ROW()+4,FALSE)</f>
        <v>11.17942757488014</v>
      </c>
      <c r="O17">
        <f>HLOOKUP(O$1,Sheet1!$B$1:$S$36,ROW()+4,FALSE)</f>
        <v>129.56962937735909</v>
      </c>
      <c r="P17">
        <f>HLOOKUP(P$1,Sheet1!$B$1:$S$36,ROW()+4,FALSE)</f>
        <v>85.45146131530376</v>
      </c>
    </row>
    <row r="18" spans="1:16" x14ac:dyDescent="0.25">
      <c r="A18">
        <v>2010</v>
      </c>
      <c r="B18">
        <f>HLOOKUP(B$1,Sheet1!$B$1:$S$36,ROW()+4,FALSE)</f>
        <v>745677.4</v>
      </c>
      <c r="C18">
        <f>HLOOKUP(C$1,Sheet1!$B$1:$S$36,ROW()+4,FALSE)</f>
        <v>75167.100000000006</v>
      </c>
      <c r="D18">
        <f>HLOOKUP(D$1,Sheet1!$B$1:$S$36,ROW()+4,FALSE)</f>
        <v>77118</v>
      </c>
      <c r="E18">
        <f>HLOOKUP(E$1,Sheet1!$B$1:$S$36,ROW()+4,FALSE)</f>
        <v>97.5</v>
      </c>
      <c r="F18">
        <f>HLOOKUP(F$1,Sheet1!$B$1:$S$36,ROW()+4,FALSE)</f>
        <v>510139.6</v>
      </c>
      <c r="G18">
        <f>HLOOKUP(G$1,Sheet1!$B$1:$S$36,ROW()+4,FALSE)</f>
        <v>529602.4</v>
      </c>
      <c r="H18">
        <f>HLOOKUP(H$1,Sheet1!$B$1:$S$36,ROW()+4,FALSE)</f>
        <v>96.3</v>
      </c>
      <c r="I18">
        <f>HLOOKUP(I$1,Sheet1!$B$1:$S$36,ROW()+4,FALSE)</f>
        <v>252304.1</v>
      </c>
      <c r="J18">
        <f>HLOOKUP(J$1,Sheet1!$B$1:$S$36,ROW()+4,FALSE)</f>
        <v>5647</v>
      </c>
      <c r="K18">
        <f>HLOOKUP(K$1,Sheet1!$B$1:$S$36,ROW()+4,FALSE)</f>
        <v>1775.2</v>
      </c>
      <c r="L18">
        <f>HLOOKUP(L$1,Sheet1!$B$1:$S$36,ROW()+4,FALSE)</f>
        <v>1.1483333333333332</v>
      </c>
      <c r="M18">
        <f>HLOOKUP(M$1,Sheet1!$B$1:$S$36,ROW()+4,FALSE)</f>
        <v>49.823310060131874</v>
      </c>
      <c r="N18">
        <f>HLOOKUP(N$1,Sheet1!$B$1:$S$36,ROW()+4,FALSE)</f>
        <v>11.081253908784161</v>
      </c>
      <c r="O18">
        <f>HLOOKUP(O$1,Sheet1!$B$1:$S$36,ROW()+4,FALSE)</f>
        <v>125.62660648178718</v>
      </c>
      <c r="P18">
        <f>HLOOKUP(P$1,Sheet1!$B$1:$S$36,ROW()+4,FALSE)</f>
        <v>93.836355652097652</v>
      </c>
    </row>
    <row r="19" spans="1:16" x14ac:dyDescent="0.25">
      <c r="A19">
        <v>2011</v>
      </c>
      <c r="B19">
        <f>HLOOKUP(B$1,Sheet1!$B$1:$S$36,ROW()+4,FALSE)</f>
        <v>737122.5</v>
      </c>
      <c r="C19">
        <f>HLOOKUP(C$1,Sheet1!$B$1:$S$36,ROW()+4,FALSE)</f>
        <v>76572.7</v>
      </c>
      <c r="D19">
        <f>HLOOKUP(D$1,Sheet1!$B$1:$S$36,ROW()+4,FALSE)</f>
        <v>79139.399999999994</v>
      </c>
      <c r="E19">
        <f>HLOOKUP(E$1,Sheet1!$B$1:$S$36,ROW()+4,FALSE)</f>
        <v>96.8</v>
      </c>
      <c r="F19">
        <f>HLOOKUP(F$1,Sheet1!$B$1:$S$36,ROW()+4,FALSE)</f>
        <v>501142</v>
      </c>
      <c r="G19">
        <f>HLOOKUP(G$1,Sheet1!$B$1:$S$36,ROW()+4,FALSE)</f>
        <v>528541.30000000005</v>
      </c>
      <c r="H19">
        <f>HLOOKUP(H$1,Sheet1!$B$1:$S$36,ROW()+4,FALSE)</f>
        <v>94.8</v>
      </c>
      <c r="I19">
        <f>HLOOKUP(I$1,Sheet1!$B$1:$S$36,ROW()+4,FALSE)</f>
        <v>252732.3</v>
      </c>
      <c r="J19">
        <f>HLOOKUP(J$1,Sheet1!$B$1:$S$36,ROW()+4,FALSE)</f>
        <v>5647.7</v>
      </c>
      <c r="K19">
        <f>HLOOKUP(K$1,Sheet1!$B$1:$S$36,ROW()+4,FALSE)</f>
        <v>1770.2</v>
      </c>
      <c r="L19">
        <f>HLOOKUP(L$1,Sheet1!$B$1:$S$36,ROW()+4,FALSE)</f>
        <v>1.1024166666666666</v>
      </c>
      <c r="M19">
        <f>HLOOKUP(M$1,Sheet1!$B$1:$S$36,ROW()+4,FALSE)</f>
        <v>50.325053016775641</v>
      </c>
      <c r="N19">
        <f>HLOOKUP(N$1,Sheet1!$B$1:$S$36,ROW()+4,FALSE)</f>
        <v>11.41614322762095</v>
      </c>
      <c r="O19">
        <f>HLOOKUP(O$1,Sheet1!$B$1:$S$36,ROW()+4,FALSE)</f>
        <v>114.48357513919221</v>
      </c>
      <c r="P19">
        <f>HLOOKUP(P$1,Sheet1!$B$1:$S$36,ROW()+4,FALSE)</f>
        <v>89.013065480280829</v>
      </c>
    </row>
    <row r="20" spans="1:16" x14ac:dyDescent="0.25">
      <c r="A20">
        <v>2012</v>
      </c>
      <c r="B20">
        <f>HLOOKUP(B$1,Sheet1!$B$1:$S$36,ROW()+4,FALSE)</f>
        <v>735926.4</v>
      </c>
      <c r="C20">
        <f>HLOOKUP(C$1,Sheet1!$B$1:$S$36,ROW()+4,FALSE)</f>
        <v>79409.3</v>
      </c>
      <c r="D20">
        <f>HLOOKUP(D$1,Sheet1!$B$1:$S$36,ROW()+4,FALSE)</f>
        <v>82412.600000000006</v>
      </c>
      <c r="E20">
        <f>HLOOKUP(E$1,Sheet1!$B$1:$S$36,ROW()+4,FALSE)</f>
        <v>96.4</v>
      </c>
      <c r="F20">
        <f>HLOOKUP(F$1,Sheet1!$B$1:$S$36,ROW()+4,FALSE)</f>
        <v>505377.1</v>
      </c>
      <c r="G20">
        <f>HLOOKUP(G$1,Sheet1!$B$1:$S$36,ROW()+4,FALSE)</f>
        <v>537256.6</v>
      </c>
      <c r="H20">
        <f>HLOOKUP(H$1,Sheet1!$B$1:$S$36,ROW()+4,FALSE)</f>
        <v>94.1</v>
      </c>
      <c r="I20">
        <f>HLOOKUP(I$1,Sheet1!$B$1:$S$36,ROW()+4,FALSE)</f>
        <v>252878.7</v>
      </c>
      <c r="J20">
        <f>HLOOKUP(J$1,Sheet1!$B$1:$S$36,ROW()+4,FALSE)</f>
        <v>5629.3</v>
      </c>
      <c r="K20">
        <f>HLOOKUP(K$1,Sheet1!$B$1:$S$36,ROW()+4,FALSE)</f>
        <v>1782.3</v>
      </c>
      <c r="L20">
        <f>HLOOKUP(L$1,Sheet1!$B$1:$S$36,ROW()+4,FALSE)</f>
        <v>0.83558333333333323</v>
      </c>
      <c r="M20">
        <f>HLOOKUP(M$1,Sheet1!$B$1:$S$36,ROW()+4,FALSE)</f>
        <v>49.51410606061431</v>
      </c>
      <c r="N20">
        <f>HLOOKUP(N$1,Sheet1!$B$1:$S$36,ROW()+4,FALSE)</f>
        <v>10.9351430732341</v>
      </c>
      <c r="O20">
        <f>HLOOKUP(O$1,Sheet1!$B$1:$S$36,ROW()+4,FALSE)</f>
        <v>108.20135379013169</v>
      </c>
      <c r="P20">
        <f>HLOOKUP(P$1,Sheet1!$B$1:$S$36,ROW()+4,FALSE)</f>
        <v>90.613773986333214</v>
      </c>
    </row>
    <row r="21" spans="1:16" x14ac:dyDescent="0.25">
      <c r="A21">
        <v>2013</v>
      </c>
      <c r="B21">
        <f>HLOOKUP(B$1,Sheet1!$B$1:$S$36,ROW()+4,FALSE)</f>
        <v>735587.2</v>
      </c>
      <c r="C21">
        <f>HLOOKUP(C$1,Sheet1!$B$1:$S$36,ROW()+4,FALSE)</f>
        <v>81868</v>
      </c>
      <c r="D21">
        <f>HLOOKUP(D$1,Sheet1!$B$1:$S$36,ROW()+4,FALSE)</f>
        <v>84303.3</v>
      </c>
      <c r="E21">
        <f>HLOOKUP(E$1,Sheet1!$B$1:$S$36,ROW()+4,FALSE)</f>
        <v>97.1</v>
      </c>
      <c r="F21">
        <f>HLOOKUP(F$1,Sheet1!$B$1:$S$36,ROW()+4,FALSE)</f>
        <v>514553.3</v>
      </c>
      <c r="G21">
        <f>HLOOKUP(G$1,Sheet1!$B$1:$S$36,ROW()+4,FALSE)</f>
        <v>547987.1</v>
      </c>
      <c r="H21">
        <f>HLOOKUP(H$1,Sheet1!$B$1:$S$36,ROW()+4,FALSE)</f>
        <v>93.9</v>
      </c>
      <c r="I21">
        <f>HLOOKUP(I$1,Sheet1!$B$1:$S$36,ROW()+4,FALSE)</f>
        <v>254642.2</v>
      </c>
      <c r="J21">
        <f>HLOOKUP(J$1,Sheet1!$B$1:$S$36,ROW()+4,FALSE)</f>
        <v>5668.8</v>
      </c>
      <c r="K21">
        <f>HLOOKUP(K$1,Sheet1!$B$1:$S$36,ROW()+4,FALSE)</f>
        <v>1763</v>
      </c>
      <c r="L21">
        <f>HLOOKUP(L$1,Sheet1!$B$1:$S$36,ROW()+4,FALSE)</f>
        <v>0.68966666666666676</v>
      </c>
      <c r="M21">
        <f>HLOOKUP(M$1,Sheet1!$B$1:$S$36,ROW()+4,FALSE)</f>
        <v>42.860782477943289</v>
      </c>
      <c r="N21">
        <f>HLOOKUP(N$1,Sheet1!$B$1:$S$36,ROW()+4,FALSE)</f>
        <v>11.17057357909705</v>
      </c>
      <c r="O21">
        <f>HLOOKUP(O$1,Sheet1!$B$1:$S$36,ROW()+4,FALSE)</f>
        <v>106.43526576315357</v>
      </c>
      <c r="P21">
        <f>HLOOKUP(P$1,Sheet1!$B$1:$S$36,ROW()+4,FALSE)</f>
        <v>94.105427948075331</v>
      </c>
    </row>
    <row r="22" spans="1:16" x14ac:dyDescent="0.25">
      <c r="A22">
        <v>2014</v>
      </c>
      <c r="B22">
        <f>HLOOKUP(B$1,Sheet1!$B$1:$S$36,ROW()+4,FALSE)</f>
        <v>740014.3</v>
      </c>
      <c r="C22">
        <f>HLOOKUP(C$1,Sheet1!$B$1:$S$36,ROW()+4,FALSE)</f>
        <v>88612.800000000003</v>
      </c>
      <c r="D22">
        <f>HLOOKUP(D$1,Sheet1!$B$1:$S$36,ROW()+4,FALSE)</f>
        <v>90047</v>
      </c>
      <c r="E22">
        <f>HLOOKUP(E$1,Sheet1!$B$1:$S$36,ROW()+4,FALSE)</f>
        <v>98.4</v>
      </c>
      <c r="F22">
        <f>HLOOKUP(F$1,Sheet1!$B$1:$S$36,ROW()+4,FALSE)</f>
        <v>528215.6</v>
      </c>
      <c r="G22">
        <f>HLOOKUP(G$1,Sheet1!$B$1:$S$36,ROW()+4,FALSE)</f>
        <v>552951.4</v>
      </c>
      <c r="H22">
        <f>HLOOKUP(H$1,Sheet1!$B$1:$S$36,ROW()+4,FALSE)</f>
        <v>95.5</v>
      </c>
      <c r="I22">
        <f>HLOOKUP(I$1,Sheet1!$B$1:$S$36,ROW()+4,FALSE)</f>
        <v>258856</v>
      </c>
      <c r="J22">
        <f>HLOOKUP(J$1,Sheet1!$B$1:$S$36,ROW()+4,FALSE)</f>
        <v>5701.8</v>
      </c>
      <c r="K22">
        <f>HLOOKUP(K$1,Sheet1!$B$1:$S$36,ROW()+4,FALSE)</f>
        <v>1758.4</v>
      </c>
      <c r="L22">
        <f>HLOOKUP(L$1,Sheet1!$B$1:$S$36,ROW()+4,FALSE)</f>
        <v>0.52033333333333331</v>
      </c>
      <c r="M22">
        <f>HLOOKUP(M$1,Sheet1!$B$1:$S$36,ROW()+4,FALSE)</f>
        <v>36.749755343255814</v>
      </c>
      <c r="N22">
        <f>HLOOKUP(N$1,Sheet1!$B$1:$S$36,ROW()+4,FALSE)</f>
        <v>11.444693436753651</v>
      </c>
      <c r="O22">
        <f>HLOOKUP(O$1,Sheet1!$B$1:$S$36,ROW()+4,FALSE)</f>
        <v>101.34425778320755</v>
      </c>
      <c r="P22">
        <f>HLOOKUP(P$1,Sheet1!$B$1:$S$36,ROW()+4,FALSE)</f>
        <v>93.739947528383681</v>
      </c>
    </row>
    <row r="23" spans="1:16" x14ac:dyDescent="0.25">
      <c r="A23">
        <v>2015</v>
      </c>
      <c r="B23">
        <f>HLOOKUP(B$1,Sheet1!$B$1:$S$36,ROW()+4,FALSE)</f>
        <v>748231.3</v>
      </c>
      <c r="C23">
        <f>HLOOKUP(C$1,Sheet1!$B$1:$S$36,ROW()+4,FALSE)</f>
        <v>94492</v>
      </c>
      <c r="D23">
        <f>HLOOKUP(D$1,Sheet1!$B$1:$S$36,ROW()+4,FALSE)</f>
        <v>95206.399999999994</v>
      </c>
      <c r="E23">
        <f>HLOOKUP(E$1,Sheet1!$B$1:$S$36,ROW()+4,FALSE)</f>
        <v>99.2</v>
      </c>
      <c r="F23">
        <f>HLOOKUP(F$1,Sheet1!$B$1:$S$36,ROW()+4,FALSE)</f>
        <v>548866.69999999995</v>
      </c>
      <c r="G23">
        <f>HLOOKUP(G$1,Sheet1!$B$1:$S$36,ROW()+4,FALSE)</f>
        <v>562904.4</v>
      </c>
      <c r="H23">
        <f>HLOOKUP(H$1,Sheet1!$B$1:$S$36,ROW()+4,FALSE)</f>
        <v>97.5</v>
      </c>
      <c r="I23">
        <f>HLOOKUP(I$1,Sheet1!$B$1:$S$36,ROW()+4,FALSE)</f>
        <v>261384.7</v>
      </c>
      <c r="J23">
        <f>HLOOKUP(J$1,Sheet1!$B$1:$S$36,ROW()+4,FALSE)</f>
        <v>5733.9</v>
      </c>
      <c r="K23">
        <f>HLOOKUP(K$1,Sheet1!$B$1:$S$36,ROW()+4,FALSE)</f>
        <v>1752.4</v>
      </c>
      <c r="L23">
        <f>HLOOKUP(L$1,Sheet1!$B$1:$S$36,ROW()+4,FALSE)</f>
        <v>0.34999999999999992</v>
      </c>
      <c r="M23">
        <f>HLOOKUP(M$1,Sheet1!$B$1:$S$36,ROW()+4,FALSE)</f>
        <v>34.106402455974845</v>
      </c>
      <c r="N23">
        <f>HLOOKUP(N$1,Sheet1!$B$1:$S$36,ROW()+4,FALSE)</f>
        <v>11.658558490018368</v>
      </c>
      <c r="O23">
        <f>HLOOKUP(O$1,Sheet1!$B$1:$S$36,ROW()+4,FALSE)</f>
        <v>100</v>
      </c>
      <c r="P23">
        <f>HLOOKUP(P$1,Sheet1!$B$1:$S$36,ROW()+4,FALSE)</f>
        <v>100</v>
      </c>
    </row>
    <row r="24" spans="1:16" x14ac:dyDescent="0.25">
      <c r="A24">
        <v>2016</v>
      </c>
      <c r="B24">
        <f>HLOOKUP(B$1,Sheet1!$B$1:$S$36,ROW()+4,FALSE)</f>
        <v>755926.3</v>
      </c>
      <c r="C24">
        <f>HLOOKUP(C$1,Sheet1!$B$1:$S$36,ROW()+4,FALSE)</f>
        <v>94146</v>
      </c>
      <c r="D24">
        <f>HLOOKUP(D$1,Sheet1!$B$1:$S$36,ROW()+4,FALSE)</f>
        <v>95386.2</v>
      </c>
      <c r="E24">
        <f>HLOOKUP(E$1,Sheet1!$B$1:$S$36,ROW()+4,FALSE)</f>
        <v>98.7</v>
      </c>
      <c r="F24">
        <f>HLOOKUP(F$1,Sheet1!$B$1:$S$36,ROW()+4,FALSE)</f>
        <v>555970.6</v>
      </c>
      <c r="G24">
        <f>HLOOKUP(G$1,Sheet1!$B$1:$S$36,ROW()+4,FALSE)</f>
        <v>566872.80000000005</v>
      </c>
      <c r="H24">
        <f>HLOOKUP(H$1,Sheet1!$B$1:$S$36,ROW()+4,FALSE)</f>
        <v>98.1</v>
      </c>
      <c r="I24">
        <f>HLOOKUP(I$1,Sheet1!$B$1:$S$36,ROW()+4,FALSE)</f>
        <v>266925.7</v>
      </c>
      <c r="J24">
        <f>HLOOKUP(J$1,Sheet1!$B$1:$S$36,ROW()+4,FALSE)</f>
        <v>5812.4</v>
      </c>
      <c r="K24">
        <f>HLOOKUP(K$1,Sheet1!$B$1:$S$36,ROW()+4,FALSE)</f>
        <v>1743.9</v>
      </c>
      <c r="L24">
        <f>HLOOKUP(L$1,Sheet1!$B$1:$S$36,ROW()+4,FALSE)</f>
        <v>-6.6249999999999989E-2</v>
      </c>
      <c r="M24">
        <f>HLOOKUP(M$1,Sheet1!$B$1:$S$36,ROW()+4,FALSE)</f>
        <v>31.155451964405234</v>
      </c>
      <c r="N24">
        <f>HLOOKUP(N$1,Sheet1!$B$1:$S$36,ROW()+4,FALSE)</f>
        <v>11.554047525143627</v>
      </c>
      <c r="O24">
        <f>HLOOKUP(O$1,Sheet1!$B$1:$S$36,ROW()+4,FALSE)</f>
        <v>99.344337384201467</v>
      </c>
      <c r="P24">
        <f>HLOOKUP(P$1,Sheet1!$B$1:$S$36,ROW()+4,FALSE)</f>
        <v>98.736250140436212</v>
      </c>
    </row>
    <row r="25" spans="1:16" x14ac:dyDescent="0.25">
      <c r="A25">
        <v>2017</v>
      </c>
      <c r="B25">
        <f>HLOOKUP(B$1,Sheet1!$B$1:$S$36,ROW()+4,FALSE)</f>
        <v>763930.4</v>
      </c>
      <c r="C25">
        <f>HLOOKUP(C$1,Sheet1!$B$1:$S$36,ROW()+4,FALSE)</f>
        <v>97331.7</v>
      </c>
      <c r="D25">
        <f>HLOOKUP(D$1,Sheet1!$B$1:$S$36,ROW()+4,FALSE)</f>
        <v>97848.9</v>
      </c>
      <c r="E25">
        <f>HLOOKUP(E$1,Sheet1!$B$1:$S$36,ROW()+4,FALSE)</f>
        <v>99.5</v>
      </c>
      <c r="F25">
        <f>HLOOKUP(F$1,Sheet1!$B$1:$S$36,ROW()+4,FALSE)</f>
        <v>565119</v>
      </c>
      <c r="G25">
        <f>HLOOKUP(G$1,Sheet1!$B$1:$S$36,ROW()+4,FALSE)</f>
        <v>576075.69999999995</v>
      </c>
      <c r="H25">
        <f>HLOOKUP(H$1,Sheet1!$B$1:$S$36,ROW()+4,FALSE)</f>
        <v>98.1</v>
      </c>
      <c r="I25">
        <f>HLOOKUP(I$1,Sheet1!$B$1:$S$36,ROW()+4,FALSE)</f>
        <v>271000.40000000002</v>
      </c>
      <c r="J25">
        <f>HLOOKUP(J$1,Sheet1!$B$1:$S$36,ROW()+4,FALSE)</f>
        <v>5876</v>
      </c>
      <c r="K25">
        <f>HLOOKUP(K$1,Sheet1!$B$1:$S$36,ROW()+4,FALSE)</f>
        <v>1745.1</v>
      </c>
      <c r="L25">
        <f>HLOOKUP(L$1,Sheet1!$B$1:$S$36,ROW()+4,FALSE)</f>
        <v>5.1666666666666673E-2</v>
      </c>
      <c r="M25">
        <f>HLOOKUP(M$1,Sheet1!$B$1:$S$36,ROW()+4,FALSE)</f>
        <v>28.321250452807572</v>
      </c>
      <c r="N25">
        <f>HLOOKUP(N$1,Sheet1!$B$1:$S$36,ROW()+4,FALSE)</f>
        <v>11.816972104291116</v>
      </c>
      <c r="O25">
        <f>HLOOKUP(O$1,Sheet1!$B$1:$S$36,ROW()+4,FALSE)</f>
        <v>101.22243190969431</v>
      </c>
      <c r="P25">
        <f>HLOOKUP(P$1,Sheet1!$B$1:$S$36,ROW()+4,FALSE)</f>
        <v>99.671156403377509</v>
      </c>
    </row>
    <row r="26" spans="1:16" x14ac:dyDescent="0.25">
      <c r="A26">
        <v>2018</v>
      </c>
      <c r="B26">
        <f>HLOOKUP(B$1,Sheet1!$B$1:$S$36,ROW()+4,FALSE)</f>
        <v>774702.1</v>
      </c>
      <c r="C26">
        <f>HLOOKUP(C$1,Sheet1!$B$1:$S$36,ROW()+4,FALSE)</f>
        <v>100849.3</v>
      </c>
      <c r="D26">
        <f>HLOOKUP(D$1,Sheet1!$B$1:$S$36,ROW()+4,FALSE)</f>
        <v>100844</v>
      </c>
      <c r="E26">
        <f>HLOOKUP(E$1,Sheet1!$B$1:$S$36,ROW()+4,FALSE)</f>
        <v>100</v>
      </c>
      <c r="F26">
        <f>HLOOKUP(F$1,Sheet1!$B$1:$S$36,ROW()+4,FALSE)</f>
        <v>569153.5</v>
      </c>
      <c r="G26">
        <f>HLOOKUP(G$1,Sheet1!$B$1:$S$36,ROW()+4,FALSE)</f>
        <v>580881</v>
      </c>
      <c r="H26">
        <f>HLOOKUP(H$1,Sheet1!$B$1:$S$36,ROW()+4,FALSE)</f>
        <v>98</v>
      </c>
      <c r="I26">
        <f>HLOOKUP(I$1,Sheet1!$B$1:$S$36,ROW()+4,FALSE)</f>
        <v>279905.7</v>
      </c>
      <c r="J26">
        <f>HLOOKUP(J$1,Sheet1!$B$1:$S$36,ROW()+4,FALSE)</f>
        <v>5989.5</v>
      </c>
      <c r="K26">
        <f>HLOOKUP(K$1,Sheet1!$B$1:$S$36,ROW()+4,FALSE)</f>
        <v>1727.8</v>
      </c>
      <c r="L26">
        <f>HLOOKUP(L$1,Sheet1!$B$1:$S$36,ROW()+4,FALSE)</f>
        <v>6.4999999999999988E-2</v>
      </c>
      <c r="M26">
        <f>HLOOKUP(M$1,Sheet1!$B$1:$S$36,ROW()+4,FALSE)</f>
        <v>26.802017505469603</v>
      </c>
      <c r="N26">
        <f>HLOOKUP(N$1,Sheet1!$B$1:$S$36,ROW()+4,FALSE)</f>
        <v>11.791335964637629</v>
      </c>
      <c r="O26">
        <f>HLOOKUP(O$1,Sheet1!$B$1:$S$36,ROW()+4,FALSE)</f>
        <v>95.316104339729804</v>
      </c>
      <c r="P26">
        <f>HLOOKUP(P$1,Sheet1!$B$1:$S$36,ROW()+4,FALSE)</f>
        <v>94.964544032083779</v>
      </c>
    </row>
    <row r="27" spans="1:16" x14ac:dyDescent="0.25">
      <c r="A27">
        <v>2019</v>
      </c>
      <c r="B27">
        <f>HLOOKUP(B$1,Sheet1!$B$1:$S$36,ROW()+4,FALSE)</f>
        <v>783363.9</v>
      </c>
      <c r="C27">
        <f>HLOOKUP(C$1,Sheet1!$B$1:$S$36,ROW()+4,FALSE)</f>
        <v>101949.7</v>
      </c>
      <c r="D27">
        <f>HLOOKUP(D$1,Sheet1!$B$1:$S$36,ROW()+4,FALSE)</f>
        <v>101731.7</v>
      </c>
      <c r="E27">
        <f>HLOOKUP(E$1,Sheet1!$B$1:$S$36,ROW()+4,FALSE)</f>
        <v>100.2</v>
      </c>
      <c r="F27">
        <f>HLOOKUP(F$1,Sheet1!$B$1:$S$36,ROW()+4,FALSE)</f>
        <v>571838</v>
      </c>
      <c r="G27">
        <f>HLOOKUP(G$1,Sheet1!$B$1:$S$36,ROW()+4,FALSE)</f>
        <v>579089</v>
      </c>
      <c r="H27">
        <f>HLOOKUP(H$1,Sheet1!$B$1:$S$36,ROW()+4,FALSE)</f>
        <v>98.7</v>
      </c>
      <c r="I27">
        <f>HLOOKUP(I$1,Sheet1!$B$1:$S$36,ROW()+4,FALSE)</f>
        <v>284889.7</v>
      </c>
      <c r="J27">
        <f>HLOOKUP(J$1,Sheet1!$B$1:$S$36,ROW()+4,FALSE)</f>
        <v>6058.6</v>
      </c>
      <c r="K27">
        <f>HLOOKUP(K$1,Sheet1!$B$1:$S$36,ROW()+4,FALSE)</f>
        <v>1696.6</v>
      </c>
      <c r="L27">
        <f>HLOOKUP(L$1,Sheet1!$B$1:$S$36,ROW()+4,FALSE)</f>
        <v>-0.11041666666666666</v>
      </c>
      <c r="M27">
        <f>HLOOKUP(M$1,Sheet1!$B$1:$S$36,ROW()+4,FALSE)</f>
        <v>26.758976214554316</v>
      </c>
      <c r="N27">
        <f>HLOOKUP(N$1,Sheet1!$B$1:$S$36,ROW()+4,FALSE)</f>
        <v>12.04177709083271</v>
      </c>
      <c r="O27">
        <f>HLOOKUP(O$1,Sheet1!$B$1:$S$36,ROW()+4,FALSE)</f>
        <v>91.40435369661823</v>
      </c>
      <c r="P27">
        <f>HLOOKUP(P$1,Sheet1!$B$1:$S$36,ROW()+4,FALSE)</f>
        <v>90.793758484333352</v>
      </c>
    </row>
    <row r="28" spans="1:16" x14ac:dyDescent="0.25">
      <c r="A28">
        <v>2020</v>
      </c>
      <c r="B28">
        <f>HLOOKUP(B$1,Sheet1!$B$1:$S$36,ROW()+4,FALSE)</f>
        <v>785491.9</v>
      </c>
      <c r="C28">
        <f>HLOOKUP(C$1,Sheet1!$B$1:$S$36,ROW()+4,FALSE)</f>
        <v>97037.4</v>
      </c>
      <c r="D28">
        <f>HLOOKUP(D$1,Sheet1!$B$1:$S$36,ROW()+4,FALSE)</f>
        <v>97037.4</v>
      </c>
      <c r="E28">
        <f>HLOOKUP(E$1,Sheet1!$B$1:$S$36,ROW()+4,FALSE)</f>
        <v>100</v>
      </c>
      <c r="F28">
        <f>HLOOKUP(F$1,Sheet1!$B$1:$S$36,ROW()+4,FALSE)</f>
        <v>554074.4</v>
      </c>
      <c r="G28">
        <f>HLOOKUP(G$1,Sheet1!$B$1:$S$36,ROW()+4,FALSE)</f>
        <v>554285</v>
      </c>
      <c r="H28">
        <f>HLOOKUP(H$1,Sheet1!$B$1:$S$36,ROW()+4,FALSE)</f>
        <v>100</v>
      </c>
      <c r="I28">
        <f>HLOOKUP(I$1,Sheet1!$B$1:$S$36,ROW()+4,FALSE)</f>
        <v>281114.40000000002</v>
      </c>
      <c r="J28">
        <f>HLOOKUP(J$1,Sheet1!$B$1:$S$36,ROW()+4,FALSE)</f>
        <v>6033.3</v>
      </c>
      <c r="K28">
        <f>HLOOKUP(K$1,Sheet1!$B$1:$S$36,ROW()+4,FALSE)</f>
        <v>1659.7</v>
      </c>
      <c r="L28">
        <f>HLOOKUP(L$1,Sheet1!$B$1:$S$36,ROW()+4,FALSE)</f>
        <v>-5.4166666666666634E-3</v>
      </c>
      <c r="M28">
        <f>HLOOKUP(M$1,Sheet1!$B$1:$S$36,ROW()+4,FALSE)</f>
        <v>27.403658291459656</v>
      </c>
      <c r="N28">
        <f>HLOOKUP(N$1,Sheet1!$B$1:$S$36,ROW()+4,FALSE)</f>
        <v>12.115620850028961</v>
      </c>
      <c r="O28">
        <f>HLOOKUP(O$1,Sheet1!$B$1:$S$36,ROW()+4,FALSE)</f>
        <v>91.346076984611273</v>
      </c>
      <c r="P28">
        <f>HLOOKUP(P$1,Sheet1!$B$1:$S$36,ROW()+4,FALSE)</f>
        <v>80.967273510427304</v>
      </c>
    </row>
    <row r="29" spans="1:16" x14ac:dyDescent="0.25">
      <c r="A29">
        <v>2021</v>
      </c>
      <c r="B29">
        <f>HLOOKUP(B$1,Sheet1!$B$1:$S$36,ROW()+4,FALSE)</f>
        <v>789000.5</v>
      </c>
      <c r="C29">
        <f>HLOOKUP(C$1,Sheet1!$B$1:$S$36,ROW()+4,FALSE)</f>
        <v>100800.9</v>
      </c>
      <c r="D29">
        <f>HLOOKUP(D$1,Sheet1!$B$1:$S$36,ROW()+4,FALSE)</f>
        <v>99381.3</v>
      </c>
      <c r="E29">
        <f>HLOOKUP(E$1,Sheet1!$B$1:$S$36,ROW()+4,FALSE)</f>
        <v>101.4</v>
      </c>
      <c r="F29">
        <f>HLOOKUP(F$1,Sheet1!$B$1:$S$36,ROW()+4,FALSE)</f>
        <v>573568.80000000005</v>
      </c>
      <c r="G29">
        <f>HLOOKUP(G$1,Sheet1!$B$1:$S$36,ROW()+4,FALSE)</f>
        <v>574040.80000000005</v>
      </c>
      <c r="H29">
        <f>HLOOKUP(H$1,Sheet1!$B$1:$S$36,ROW()+4,FALSE)</f>
        <v>99.9</v>
      </c>
      <c r="I29">
        <f>HLOOKUP(I$1,Sheet1!$B$1:$S$36,ROW()+4,FALSE)</f>
        <v>287685.3</v>
      </c>
      <c r="J29">
        <f>HLOOKUP(J$1,Sheet1!$B$1:$S$36,ROW()+4,FALSE)</f>
        <v>6051.2</v>
      </c>
      <c r="K29">
        <f>HLOOKUP(K$1,Sheet1!$B$1:$S$36,ROW()+4,FALSE)</f>
        <v>1678.4</v>
      </c>
      <c r="L29">
        <f>HLOOKUP(L$1,Sheet1!$B$1:$S$36,ROW()+4,FALSE)</f>
        <v>7.166666666666667E-2</v>
      </c>
      <c r="M29">
        <f>HLOOKUP(M$1,Sheet1!$B$1:$S$36,ROW()+4,FALSE)</f>
        <v>27.177147456032884</v>
      </c>
      <c r="N29">
        <f>HLOOKUP(N$1,Sheet1!$B$1:$S$36,ROW()+4,FALSE)</f>
        <v>12.386162097915975</v>
      </c>
      <c r="O29" t="str">
        <f>HLOOKUP(O$1,Sheet1!$B$1:$S$36,ROW()+4,FALSE)</f>
        <v>NA</v>
      </c>
      <c r="P29">
        <f>HLOOKUP(P$1,Sheet1!$B$1:$S$36,ROW()+4,FALSE)</f>
        <v>83.393679494370261</v>
      </c>
    </row>
    <row r="30" spans="1:16" x14ac:dyDescent="0.25">
      <c r="A30">
        <v>2022</v>
      </c>
      <c r="B30">
        <f>HLOOKUP(B$1,Sheet1!$B$1:$S$36,ROW()+4,FALSE)</f>
        <v>794844.7</v>
      </c>
      <c r="C30">
        <f>HLOOKUP(C$1,Sheet1!$B$1:$S$36,ROW()+4,FALSE)</f>
        <v>107813.7</v>
      </c>
      <c r="D30">
        <f>HLOOKUP(D$1,Sheet1!$B$1:$S$36,ROW()+4,FALSE)</f>
        <v>102455.3</v>
      </c>
      <c r="E30">
        <f>HLOOKUP(E$1,Sheet1!$B$1:$S$36,ROW()+4,FALSE)</f>
        <v>105.2</v>
      </c>
      <c r="F30">
        <f>HLOOKUP(F$1,Sheet1!$B$1:$S$36,ROW()+4,FALSE)</f>
        <v>584900.6</v>
      </c>
      <c r="G30">
        <f>HLOOKUP(G$1,Sheet1!$B$1:$S$36,ROW()+4,FALSE)</f>
        <v>581685</v>
      </c>
      <c r="H30">
        <f>HLOOKUP(H$1,Sheet1!$B$1:$S$36,ROW()+4,FALSE)</f>
        <v>100.6</v>
      </c>
      <c r="I30">
        <f>HLOOKUP(I$1,Sheet1!$B$1:$S$36,ROW()+4,FALSE)</f>
        <v>295447.40000000002</v>
      </c>
      <c r="J30">
        <f>HLOOKUP(J$1,Sheet1!$B$1:$S$36,ROW()+4,FALSE)</f>
        <v>6086.3</v>
      </c>
      <c r="K30">
        <f>HLOOKUP(K$1,Sheet1!$B$1:$S$36,ROW()+4,FALSE)</f>
        <v>1675.5</v>
      </c>
      <c r="L30">
        <f>HLOOKUP(L$1,Sheet1!$B$1:$S$36,ROW()+4,FALSE)</f>
        <v>0.23166666666666666</v>
      </c>
      <c r="M30">
        <f>HLOOKUP(M$1,Sheet1!$B$1:$S$36,ROW()+4,FALSE)</f>
        <v>27.028655841924593</v>
      </c>
      <c r="N30">
        <f>HLOOKUP(N$1,Sheet1!$B$1:$S$36,ROW()+4,FALSE)</f>
        <v>12.923882811227621</v>
      </c>
      <c r="O30" t="str">
        <f>HLOOKUP(O$1,Sheet1!$B$1:$S$36,ROW()+4,FALSE)</f>
        <v>NA</v>
      </c>
      <c r="P30">
        <f>HLOOKUP(P$1,Sheet1!$B$1:$S$36,ROW()+4,FALSE)</f>
        <v>83.722017532311483</v>
      </c>
    </row>
    <row r="31" spans="1:16" x14ac:dyDescent="0.25">
      <c r="A31">
        <v>2023</v>
      </c>
      <c r="B31">
        <f>HLOOKUP(B$1,Sheet1!$B$1:$S$36,ROW()+4,FALSE)</f>
        <v>801669.7</v>
      </c>
      <c r="C31">
        <f>HLOOKUP(C$1,Sheet1!$B$1:$S$36,ROW()+4,FALSE)</f>
        <v>113786.1</v>
      </c>
      <c r="D31">
        <f>HLOOKUP(D$1,Sheet1!$B$1:$S$36,ROW()+4,FALSE)</f>
        <v>104246.7</v>
      </c>
      <c r="E31">
        <f>HLOOKUP(E$1,Sheet1!$B$1:$S$36,ROW()+4,FALSE)</f>
        <v>109.2</v>
      </c>
      <c r="F31">
        <f>HLOOKUP(F$1,Sheet1!$B$1:$S$36,ROW()+4,FALSE)</f>
        <v>616033</v>
      </c>
      <c r="G31">
        <f>HLOOKUP(G$1,Sheet1!$B$1:$S$36,ROW()+4,FALSE)</f>
        <v>585877.69999999995</v>
      </c>
      <c r="H31">
        <f>HLOOKUP(H$1,Sheet1!$B$1:$S$36,ROW()+4,FALSE)</f>
        <v>105.1</v>
      </c>
      <c r="I31">
        <f>HLOOKUP(I$1,Sheet1!$B$1:$S$36,ROW()+4,FALSE)</f>
        <v>300547</v>
      </c>
      <c r="J31">
        <f>HLOOKUP(J$1,Sheet1!$B$1:$S$36,ROW()+4,FALSE)</f>
        <v>6129.3</v>
      </c>
      <c r="K31">
        <f>HLOOKUP(K$1,Sheet1!$B$1:$S$36,ROW()+4,FALSE)</f>
        <v>1677.9</v>
      </c>
      <c r="L31">
        <f>HLOOKUP(L$1,Sheet1!$B$1:$S$36,ROW()+4,FALSE)</f>
        <v>0.56250000000000011</v>
      </c>
      <c r="M31">
        <f>HLOOKUP(M$1,Sheet1!$B$1:$S$36,ROW()+4,FALSE)</f>
        <v>27.172550470504312</v>
      </c>
      <c r="N31">
        <f>HLOOKUP(N$1,Sheet1!$B$1:$S$36,ROW()+4,FALSE)</f>
        <v>13.456855156736905</v>
      </c>
      <c r="O31" t="str">
        <f>HLOOKUP(O$1,Sheet1!$B$1:$S$36,ROW()+4,FALSE)</f>
        <v>NA</v>
      </c>
      <c r="P31">
        <f>HLOOKUP(P$1,Sheet1!$B$1:$S$36,ROW()+4,FALSE)</f>
        <v>97.891785162845878</v>
      </c>
    </row>
    <row r="32" spans="1:16" x14ac:dyDescent="0.25">
      <c r="A32">
        <v>2024</v>
      </c>
      <c r="B32">
        <f>HLOOKUP(B$1,Sheet1!$B$1:$S$36,ROW()+4,FALSE)</f>
        <v>820134.40000000002</v>
      </c>
      <c r="C32">
        <f>HLOOKUP(C$1,Sheet1!$B$1:$S$36,ROW()+4,FALSE)</f>
        <v>117611.9</v>
      </c>
      <c r="D32">
        <f>HLOOKUP(D$1,Sheet1!$B$1:$S$36,ROW()+4,FALSE)</f>
        <v>104104.9</v>
      </c>
      <c r="E32">
        <f>HLOOKUP(E$1,Sheet1!$B$1:$S$36,ROW()+4,FALSE)</f>
        <v>113</v>
      </c>
      <c r="F32">
        <f>HLOOKUP(F$1,Sheet1!$B$1:$S$36,ROW()+4,FALSE)</f>
        <v>634226</v>
      </c>
      <c r="G32">
        <f>HLOOKUP(G$1,Sheet1!$B$1:$S$36,ROW()+4,FALSE)</f>
        <v>584471.1</v>
      </c>
      <c r="H32">
        <f>HLOOKUP(H$1,Sheet1!$B$1:$S$36,ROW()+4,FALSE)</f>
        <v>108.5</v>
      </c>
      <c r="I32">
        <f>HLOOKUP(I$1,Sheet1!$B$1:$S$36,ROW()+4,FALSE)</f>
        <v>311663</v>
      </c>
      <c r="J32">
        <f>HLOOKUP(J$1,Sheet1!$B$1:$S$36,ROW()+4,FALSE)</f>
        <v>6184.2</v>
      </c>
      <c r="K32">
        <f>HLOOKUP(K$1,Sheet1!$B$1:$S$36,ROW()+4,FALSE)</f>
        <v>1661.5</v>
      </c>
      <c r="L32">
        <f>HLOOKUP(L$1,Sheet1!$B$1:$S$36,ROW()+4,FALSE)</f>
        <v>0.91833333333333345</v>
      </c>
      <c r="M32">
        <f>HLOOKUP(M$1,Sheet1!$B$1:$S$36,ROW()+4,FALSE)</f>
        <v>25.957248065412493</v>
      </c>
      <c r="N32">
        <f>HLOOKUP(N$1,Sheet1!$B$1:$S$36,ROW()+4,FALSE)</f>
        <v>12.367587299357822</v>
      </c>
      <c r="O32" t="str">
        <f>HLOOKUP(O$1,Sheet1!$B$1:$S$36,ROW()+4,FALSE)</f>
        <v>NA</v>
      </c>
      <c r="P32" t="str">
        <f>HLOOKUP(P$1,Sheet1!$B$1:$S$36,ROW()+4,FALSE)</f>
        <v>NA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5B2A-CCCB-467A-B37B-6E0DDC07FCBA}">
  <sheetPr codeName="Sheet1"/>
  <dimension ref="A1:U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9" sqref="U9"/>
    </sheetView>
  </sheetViews>
  <sheetFormatPr defaultRowHeight="12.6" x14ac:dyDescent="0.25"/>
  <cols>
    <col min="2" max="5" width="8.88671875" style="1"/>
    <col min="6" max="6" width="9.6640625" style="1" bestFit="1" customWidth="1"/>
    <col min="7" max="14" width="8.88671875" style="1"/>
    <col min="15" max="15" width="11.77734375" style="2" bestFit="1" customWidth="1"/>
    <col min="16" max="16" width="10.6640625" style="2" bestFit="1" customWidth="1"/>
    <col min="17" max="19" width="8.88671875" style="1"/>
  </cols>
  <sheetData>
    <row r="1" spans="1:21" x14ac:dyDescent="0.25">
      <c r="B1" s="3" t="s">
        <v>11</v>
      </c>
      <c r="C1" s="3" t="s">
        <v>0</v>
      </c>
      <c r="D1" s="3" t="s">
        <v>12</v>
      </c>
      <c r="E1" s="3" t="s">
        <v>1</v>
      </c>
      <c r="F1" s="3" t="s">
        <v>10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4" t="s">
        <v>7</v>
      </c>
      <c r="M1" s="5" t="s">
        <v>8</v>
      </c>
      <c r="N1" s="5" t="s">
        <v>15</v>
      </c>
      <c r="O1" s="6" t="s">
        <v>16</v>
      </c>
      <c r="P1" s="6" t="s">
        <v>17</v>
      </c>
      <c r="Q1" s="1" t="s">
        <v>9</v>
      </c>
      <c r="R1" s="1" t="s">
        <v>19</v>
      </c>
      <c r="S1" s="1" t="s">
        <v>20</v>
      </c>
    </row>
    <row r="2" spans="1:21" x14ac:dyDescent="0.25">
      <c r="N2" s="1">
        <f t="shared" ref="N2:N36" si="0">O2/P2*100</f>
        <v>53.865134524238009</v>
      </c>
      <c r="O2" s="2">
        <v>20514474</v>
      </c>
      <c r="P2" s="2">
        <v>38084884</v>
      </c>
    </row>
    <row r="3" spans="1:21" x14ac:dyDescent="0.25">
      <c r="N3" s="1">
        <f t="shared" si="0"/>
        <v>57.010249717271236</v>
      </c>
      <c r="O3" s="2">
        <v>18678686</v>
      </c>
      <c r="P3" s="2">
        <v>32763733</v>
      </c>
    </row>
    <row r="4" spans="1:21" x14ac:dyDescent="0.25">
      <c r="N4" s="1">
        <f t="shared" si="0"/>
        <v>67.616829363455295</v>
      </c>
      <c r="O4" s="2">
        <v>16286959</v>
      </c>
      <c r="P4" s="2">
        <v>24087138</v>
      </c>
    </row>
    <row r="5" spans="1:21" x14ac:dyDescent="0.25">
      <c r="N5" s="1">
        <f t="shared" si="0"/>
        <v>79.482062119210667</v>
      </c>
      <c r="O5" s="2">
        <v>14506326</v>
      </c>
      <c r="P5" s="2">
        <v>18251069</v>
      </c>
    </row>
    <row r="6" spans="1:21" x14ac:dyDescent="0.25">
      <c r="A6">
        <v>1994</v>
      </c>
      <c r="B6" s="1">
        <v>623503.9</v>
      </c>
      <c r="C6" s="1">
        <v>89003.3</v>
      </c>
      <c r="D6" s="1">
        <v>74650.899999999994</v>
      </c>
      <c r="E6" s="1">
        <v>119.2</v>
      </c>
      <c r="F6" s="1">
        <v>521675.1</v>
      </c>
      <c r="G6" s="1">
        <v>464267.4</v>
      </c>
      <c r="H6" s="1">
        <v>112.4</v>
      </c>
      <c r="I6" s="1">
        <v>261625.60000000001</v>
      </c>
      <c r="J6" s="1">
        <v>5356.5</v>
      </c>
      <c r="K6" s="1">
        <v>1909.1</v>
      </c>
      <c r="L6" s="1">
        <v>4.3633333333333324</v>
      </c>
      <c r="M6" s="1">
        <f>AVERAGE(N2:N6)</f>
        <v>66.801580408687755</v>
      </c>
      <c r="N6" s="1">
        <f>O6/P6*100</f>
        <v>76.033626319263576</v>
      </c>
      <c r="O6" s="2">
        <v>14321392</v>
      </c>
      <c r="P6" s="2">
        <v>18835603</v>
      </c>
      <c r="Q6" s="1" t="s">
        <v>18</v>
      </c>
      <c r="R6" s="1">
        <v>139.42877195326787</v>
      </c>
      <c r="S6" s="1">
        <v>115.91812216510095</v>
      </c>
      <c r="U6" t="s">
        <v>13</v>
      </c>
    </row>
    <row r="7" spans="1:21" x14ac:dyDescent="0.25">
      <c r="A7">
        <v>1995</v>
      </c>
      <c r="B7" s="1">
        <v>633070.19999999995</v>
      </c>
      <c r="C7" s="1">
        <v>91924.2</v>
      </c>
      <c r="D7" s="1">
        <v>78359.3</v>
      </c>
      <c r="E7" s="1">
        <v>117.3</v>
      </c>
      <c r="F7" s="1">
        <v>530463.19999999995</v>
      </c>
      <c r="G7" s="1">
        <v>475140.8</v>
      </c>
      <c r="H7" s="1">
        <v>111.6</v>
      </c>
      <c r="I7" s="1">
        <v>266004.09999999998</v>
      </c>
      <c r="J7" s="1">
        <v>5379.5</v>
      </c>
      <c r="K7" s="1">
        <v>1911.6</v>
      </c>
      <c r="L7" s="1">
        <v>3.4434999999999998</v>
      </c>
      <c r="M7" s="1">
        <f t="shared" ref="M7:M36" si="1">AVERAGE(N3:N7)</f>
        <v>69.36932371914088</v>
      </c>
      <c r="N7" s="1">
        <f t="shared" si="0"/>
        <v>66.703851076503611</v>
      </c>
      <c r="O7" s="2">
        <v>15389577</v>
      </c>
      <c r="P7" s="2">
        <v>23071497</v>
      </c>
      <c r="Q7" s="1">
        <f>(B6+C7-B7)/B6*100</f>
        <v>13.208882895519983</v>
      </c>
      <c r="R7" s="1">
        <v>139.50705134088565</v>
      </c>
      <c r="S7" s="1">
        <v>116.59329094382416</v>
      </c>
      <c r="U7" t="s">
        <v>14</v>
      </c>
    </row>
    <row r="8" spans="1:21" x14ac:dyDescent="0.25">
      <c r="A8">
        <v>1996</v>
      </c>
      <c r="B8" s="1">
        <v>652745.4</v>
      </c>
      <c r="C8" s="1">
        <v>96951.9</v>
      </c>
      <c r="D8" s="1">
        <v>83554.8</v>
      </c>
      <c r="E8" s="1">
        <v>116</v>
      </c>
      <c r="F8" s="1">
        <v>546227.9</v>
      </c>
      <c r="G8" s="1">
        <v>489753.59999999998</v>
      </c>
      <c r="H8" s="1">
        <v>111.5</v>
      </c>
      <c r="I8" s="1">
        <v>270691.5</v>
      </c>
      <c r="J8" s="1">
        <v>5419</v>
      </c>
      <c r="K8" s="1">
        <v>1914.8</v>
      </c>
      <c r="L8" s="1">
        <v>3.1014999999999997</v>
      </c>
      <c r="M8" s="1">
        <f t="shared" si="1"/>
        <v>70.614734744674337</v>
      </c>
      <c r="N8" s="1">
        <f t="shared" si="0"/>
        <v>63.237304844938492</v>
      </c>
      <c r="O8" s="2">
        <v>15238896</v>
      </c>
      <c r="P8" s="2">
        <v>24097953</v>
      </c>
      <c r="Q8" s="1">
        <f t="shared" ref="Q8:Q36" si="2">(B7+C8-B8)/B7*100</f>
        <v>12.206655754764631</v>
      </c>
      <c r="R8" s="1">
        <v>142.60047858824123</v>
      </c>
      <c r="S8" s="1">
        <v>118.77844082873577</v>
      </c>
      <c r="U8" t="s">
        <v>21</v>
      </c>
    </row>
    <row r="9" spans="1:21" x14ac:dyDescent="0.25">
      <c r="A9">
        <v>1997</v>
      </c>
      <c r="B9" s="1">
        <v>672576.7</v>
      </c>
      <c r="C9" s="1">
        <v>99717.6</v>
      </c>
      <c r="D9" s="1">
        <v>86803</v>
      </c>
      <c r="E9" s="1">
        <v>114.9</v>
      </c>
      <c r="F9" s="1">
        <v>554111.80000000005</v>
      </c>
      <c r="G9" s="1">
        <v>496428.79999999999</v>
      </c>
      <c r="H9" s="1">
        <v>111.6</v>
      </c>
      <c r="I9" s="1">
        <v>278752.5</v>
      </c>
      <c r="J9" s="1">
        <v>5469.7</v>
      </c>
      <c r="K9" s="1">
        <v>1887.1</v>
      </c>
      <c r="L9" s="1">
        <v>2.3736666666666664</v>
      </c>
      <c r="M9" s="1">
        <f t="shared" si="1"/>
        <v>69.792998326645943</v>
      </c>
      <c r="N9" s="1">
        <f t="shared" si="0"/>
        <v>63.508147273313412</v>
      </c>
      <c r="O9" s="2">
        <v>14402739</v>
      </c>
      <c r="P9" s="2">
        <v>22678569</v>
      </c>
      <c r="Q9" s="1">
        <f t="shared" si="2"/>
        <v>12.238508306607759</v>
      </c>
      <c r="R9" s="1">
        <v>137.1518766702539</v>
      </c>
      <c r="S9" s="1">
        <v>114.73486845321035</v>
      </c>
    </row>
    <row r="10" spans="1:21" x14ac:dyDescent="0.25">
      <c r="A10">
        <v>1998</v>
      </c>
      <c r="B10" s="1">
        <v>683061</v>
      </c>
      <c r="C10" s="1">
        <v>94245.8</v>
      </c>
      <c r="D10" s="1">
        <v>83086</v>
      </c>
      <c r="E10" s="1">
        <v>113.4</v>
      </c>
      <c r="F10" s="1">
        <v>543304</v>
      </c>
      <c r="G10" s="1">
        <v>487628.9</v>
      </c>
      <c r="H10" s="1">
        <v>111.4</v>
      </c>
      <c r="I10" s="1">
        <v>274573.3</v>
      </c>
      <c r="J10" s="1">
        <v>5425.5</v>
      </c>
      <c r="K10" s="1">
        <v>1866.5</v>
      </c>
      <c r="L10" s="1">
        <v>1.5414166666666667</v>
      </c>
      <c r="M10" s="1">
        <f t="shared" si="1"/>
        <v>74.795047140603103</v>
      </c>
      <c r="N10" s="1">
        <f t="shared" si="0"/>
        <v>104.49230618899644</v>
      </c>
      <c r="O10" s="2">
        <v>12404522</v>
      </c>
      <c r="P10" s="2">
        <v>11871230</v>
      </c>
      <c r="Q10" s="1">
        <f t="shared" si="2"/>
        <v>12.45382125191075</v>
      </c>
      <c r="R10" s="1">
        <v>132.52291195854036</v>
      </c>
      <c r="S10" s="1">
        <v>108.89329627455095</v>
      </c>
    </row>
    <row r="11" spans="1:21" x14ac:dyDescent="0.25">
      <c r="A11">
        <v>1999</v>
      </c>
      <c r="B11" s="1">
        <v>690962.4</v>
      </c>
      <c r="C11" s="1">
        <v>87750.6</v>
      </c>
      <c r="D11" s="1">
        <v>78994.3</v>
      </c>
      <c r="E11" s="1">
        <v>111.1</v>
      </c>
      <c r="F11" s="1">
        <v>534107.1</v>
      </c>
      <c r="G11" s="1">
        <v>485933.9</v>
      </c>
      <c r="H11" s="1">
        <v>109.9</v>
      </c>
      <c r="I11" s="1">
        <v>269253.2</v>
      </c>
      <c r="J11" s="1">
        <v>5368.7</v>
      </c>
      <c r="K11" s="1">
        <v>1850.9</v>
      </c>
      <c r="L11" s="1">
        <v>1.7489999999999999</v>
      </c>
      <c r="M11" s="1">
        <f t="shared" si="1"/>
        <v>76.159037577065462</v>
      </c>
      <c r="N11" s="1">
        <f t="shared" si="0"/>
        <v>82.853578501575385</v>
      </c>
      <c r="O11" s="2">
        <v>10474878</v>
      </c>
      <c r="P11" s="2">
        <v>12642638</v>
      </c>
      <c r="Q11" s="1">
        <f t="shared" si="2"/>
        <v>11.689907636360436</v>
      </c>
      <c r="R11" s="1">
        <v>138.05374210611262</v>
      </c>
      <c r="S11" s="1">
        <v>106.85169487578641</v>
      </c>
      <c r="U11" s="2"/>
    </row>
    <row r="12" spans="1:21" x14ac:dyDescent="0.25">
      <c r="A12">
        <v>2000</v>
      </c>
      <c r="B12" s="1">
        <v>701749.3</v>
      </c>
      <c r="C12" s="1">
        <v>93225.3</v>
      </c>
      <c r="D12" s="1">
        <v>84580.9</v>
      </c>
      <c r="E12" s="1">
        <v>110.2</v>
      </c>
      <c r="F12" s="1">
        <v>543394.80000000005</v>
      </c>
      <c r="G12" s="1">
        <v>500406.6</v>
      </c>
      <c r="H12" s="1">
        <v>108.6</v>
      </c>
      <c r="I12" s="1">
        <v>269891.90000000002</v>
      </c>
      <c r="J12" s="1">
        <v>5374.6</v>
      </c>
      <c r="K12" s="1">
        <v>1858.5</v>
      </c>
      <c r="L12" s="1">
        <v>1.7444166666666667</v>
      </c>
      <c r="M12" s="1">
        <f t="shared" si="1"/>
        <v>74.67910291046482</v>
      </c>
      <c r="N12" s="1">
        <f t="shared" si="0"/>
        <v>59.304177743500418</v>
      </c>
      <c r="O12" s="2">
        <v>12266214</v>
      </c>
      <c r="P12" s="2">
        <v>20683558</v>
      </c>
      <c r="Q12" s="1">
        <f t="shared" si="2"/>
        <v>11.930953116985819</v>
      </c>
      <c r="R12" s="1">
        <v>136.45259586783763</v>
      </c>
      <c r="S12" s="1">
        <v>109.76496758864</v>
      </c>
    </row>
    <row r="13" spans="1:21" x14ac:dyDescent="0.25">
      <c r="A13">
        <v>2001</v>
      </c>
      <c r="B13" s="1">
        <v>710804.9</v>
      </c>
      <c r="C13" s="1">
        <v>91053.1</v>
      </c>
      <c r="D13" s="1">
        <v>84581.6</v>
      </c>
      <c r="E13" s="1">
        <v>107.7</v>
      </c>
      <c r="F13" s="1">
        <v>539441.6</v>
      </c>
      <c r="G13" s="1">
        <v>501830.8</v>
      </c>
      <c r="H13" s="1">
        <v>107.5</v>
      </c>
      <c r="I13" s="1">
        <v>266607.5</v>
      </c>
      <c r="J13" s="1">
        <v>5391.9</v>
      </c>
      <c r="K13" s="1">
        <v>1843.1</v>
      </c>
      <c r="L13" s="1">
        <v>1.319</v>
      </c>
      <c r="M13" s="1">
        <f t="shared" si="1"/>
        <v>83.347312779357821</v>
      </c>
      <c r="N13" s="1">
        <f t="shared" si="0"/>
        <v>106.57835418940348</v>
      </c>
      <c r="O13" s="2">
        <v>7543909</v>
      </c>
      <c r="P13" s="2">
        <v>7078275</v>
      </c>
      <c r="Q13" s="1">
        <f t="shared" si="2"/>
        <v>11.684728435069331</v>
      </c>
      <c r="R13" s="1">
        <v>130.96654639043743</v>
      </c>
      <c r="S13" s="1">
        <v>106.52618807197598</v>
      </c>
    </row>
    <row r="14" spans="1:21" x14ac:dyDescent="0.25">
      <c r="A14">
        <v>2002</v>
      </c>
      <c r="B14" s="1">
        <v>713480.3</v>
      </c>
      <c r="C14" s="1">
        <v>84640.2</v>
      </c>
      <c r="D14" s="1">
        <v>80298.3</v>
      </c>
      <c r="E14" s="1">
        <v>105.4</v>
      </c>
      <c r="F14" s="1">
        <v>532390.80000000005</v>
      </c>
      <c r="G14" s="1">
        <v>502257.3</v>
      </c>
      <c r="H14" s="1">
        <v>106</v>
      </c>
      <c r="I14" s="1">
        <v>257436.79999999999</v>
      </c>
      <c r="J14" s="1">
        <v>5352.4</v>
      </c>
      <c r="K14" s="1">
        <v>1830.6</v>
      </c>
      <c r="L14" s="1">
        <v>1.2631666666666665</v>
      </c>
      <c r="M14" s="1">
        <f t="shared" si="1"/>
        <v>84.175727827213876</v>
      </c>
      <c r="N14" s="1">
        <f t="shared" si="0"/>
        <v>67.650222512593658</v>
      </c>
      <c r="O14" s="2">
        <v>13013646</v>
      </c>
      <c r="P14" s="2">
        <v>19236664</v>
      </c>
      <c r="Q14" s="1">
        <f t="shared" si="2"/>
        <v>11.531265471017424</v>
      </c>
      <c r="R14" s="1">
        <v>128.67925922409717</v>
      </c>
      <c r="S14" s="1">
        <v>109.04434576480895</v>
      </c>
    </row>
    <row r="15" spans="1:21" x14ac:dyDescent="0.25">
      <c r="A15">
        <v>2003</v>
      </c>
      <c r="B15" s="1">
        <v>716599</v>
      </c>
      <c r="C15" s="1">
        <v>83039.7</v>
      </c>
      <c r="D15" s="1">
        <v>80787.3</v>
      </c>
      <c r="E15" s="1">
        <v>102.8</v>
      </c>
      <c r="F15" s="1">
        <v>530211.80000000005</v>
      </c>
      <c r="G15" s="1">
        <v>509189</v>
      </c>
      <c r="H15" s="1">
        <v>104.1</v>
      </c>
      <c r="I15" s="1">
        <v>255183.6</v>
      </c>
      <c r="J15" s="1">
        <v>5369.6</v>
      </c>
      <c r="K15" s="1">
        <v>1834.2</v>
      </c>
      <c r="L15" s="1">
        <v>1.00325</v>
      </c>
      <c r="M15" s="1">
        <f t="shared" si="1"/>
        <v>73.720975996733998</v>
      </c>
      <c r="N15" s="1">
        <f t="shared" si="0"/>
        <v>52.21854703659703</v>
      </c>
      <c r="O15" s="2">
        <v>14382227</v>
      </c>
      <c r="P15" s="2">
        <v>27542373</v>
      </c>
      <c r="Q15" s="1">
        <f t="shared" si="2"/>
        <v>11.201570667052755</v>
      </c>
      <c r="R15" s="1">
        <v>122.02201318005157</v>
      </c>
      <c r="S15" s="1">
        <v>110.48406112166347</v>
      </c>
    </row>
    <row r="16" spans="1:21" x14ac:dyDescent="0.25">
      <c r="A16">
        <v>2004</v>
      </c>
      <c r="B16" s="1">
        <v>722919.2</v>
      </c>
      <c r="C16" s="1">
        <v>83687.100000000006</v>
      </c>
      <c r="D16" s="1">
        <v>82738.3</v>
      </c>
      <c r="E16" s="1">
        <v>101.1</v>
      </c>
      <c r="F16" s="1">
        <v>534634.1</v>
      </c>
      <c r="G16" s="1">
        <v>519947.9</v>
      </c>
      <c r="H16" s="1">
        <v>102.8</v>
      </c>
      <c r="I16" s="1">
        <v>256593.3</v>
      </c>
      <c r="J16" s="1">
        <v>5404.3</v>
      </c>
      <c r="K16" s="1">
        <v>1842.7</v>
      </c>
      <c r="L16" s="1">
        <v>1.4926666666666666</v>
      </c>
      <c r="M16" s="1">
        <f t="shared" si="1"/>
        <v>66.741303875393172</v>
      </c>
      <c r="N16" s="1">
        <f t="shared" si="0"/>
        <v>47.955217894871225</v>
      </c>
      <c r="O16" s="2">
        <v>15840241</v>
      </c>
      <c r="P16" s="2">
        <v>33031319</v>
      </c>
      <c r="Q16" s="1">
        <f t="shared" si="2"/>
        <v>10.796400776445408</v>
      </c>
      <c r="R16" s="1">
        <v>122.84082339794899</v>
      </c>
      <c r="S16" s="1">
        <v>111.52845423737099</v>
      </c>
    </row>
    <row r="17" spans="1:19" x14ac:dyDescent="0.25">
      <c r="A17">
        <v>2005</v>
      </c>
      <c r="B17" s="1">
        <v>733117.8</v>
      </c>
      <c r="C17" s="1">
        <v>89354</v>
      </c>
      <c r="D17" s="1">
        <v>88812.1</v>
      </c>
      <c r="E17" s="1">
        <v>100.6</v>
      </c>
      <c r="F17" s="1">
        <v>537385.19999999995</v>
      </c>
      <c r="G17" s="1">
        <v>529558</v>
      </c>
      <c r="H17" s="1">
        <v>101.5</v>
      </c>
      <c r="I17" s="1">
        <v>261326.4</v>
      </c>
      <c r="J17" s="1">
        <v>5466.8</v>
      </c>
      <c r="K17" s="1">
        <v>1830.5</v>
      </c>
      <c r="L17" s="1">
        <v>1.3547499999999999</v>
      </c>
      <c r="M17" s="1">
        <f t="shared" si="1"/>
        <v>64.058618712584206</v>
      </c>
      <c r="N17" s="1">
        <f t="shared" si="0"/>
        <v>45.89075192945559</v>
      </c>
      <c r="O17" s="2">
        <v>19919114</v>
      </c>
      <c r="P17" s="2">
        <v>43405508</v>
      </c>
      <c r="Q17" s="1">
        <f t="shared" si="2"/>
        <v>10.949411773819246</v>
      </c>
      <c r="R17" s="1">
        <v>119.48426415799334</v>
      </c>
      <c r="S17" s="1">
        <v>109.66542008562612</v>
      </c>
    </row>
    <row r="18" spans="1:19" x14ac:dyDescent="0.25">
      <c r="A18">
        <v>2006</v>
      </c>
      <c r="B18" s="1">
        <v>744573.5</v>
      </c>
      <c r="C18" s="1">
        <v>91710.1</v>
      </c>
      <c r="D18" s="1">
        <v>90929.3</v>
      </c>
      <c r="E18" s="1">
        <v>100.9</v>
      </c>
      <c r="F18" s="1">
        <v>540566</v>
      </c>
      <c r="G18" s="1">
        <v>537746.6</v>
      </c>
      <c r="H18" s="1">
        <v>100.5</v>
      </c>
      <c r="I18" s="1">
        <v>266138.09999999998</v>
      </c>
      <c r="J18" s="1">
        <v>5570.5</v>
      </c>
      <c r="K18" s="1">
        <v>1837.3</v>
      </c>
      <c r="L18" s="1">
        <v>1.7404999999999999</v>
      </c>
      <c r="M18" s="1">
        <f t="shared" si="1"/>
        <v>50.535091860347052</v>
      </c>
      <c r="N18" s="1">
        <f t="shared" si="0"/>
        <v>38.96071992821777</v>
      </c>
      <c r="O18" s="2">
        <v>19077893</v>
      </c>
      <c r="P18" s="2">
        <v>48966993</v>
      </c>
      <c r="Q18" s="1">
        <f t="shared" si="2"/>
        <v>10.94699924077686</v>
      </c>
      <c r="R18" s="1">
        <v>127.96440634732191</v>
      </c>
      <c r="S18" s="1">
        <v>105.25223764160587</v>
      </c>
    </row>
    <row r="19" spans="1:19" x14ac:dyDescent="0.25">
      <c r="A19">
        <v>2007</v>
      </c>
      <c r="B19" s="1">
        <v>755589.5</v>
      </c>
      <c r="C19" s="1">
        <v>92758.7</v>
      </c>
      <c r="D19" s="1">
        <v>92376.5</v>
      </c>
      <c r="E19" s="1">
        <v>100.4</v>
      </c>
      <c r="F19" s="1">
        <v>544571.1</v>
      </c>
      <c r="G19" s="1">
        <v>547040.9</v>
      </c>
      <c r="H19" s="1">
        <v>99.5</v>
      </c>
      <c r="I19" s="1">
        <v>267694.3</v>
      </c>
      <c r="J19" s="1">
        <v>5643.5</v>
      </c>
      <c r="K19" s="1">
        <v>1826.7</v>
      </c>
      <c r="L19" s="1">
        <v>1.6655</v>
      </c>
      <c r="M19" s="1">
        <f t="shared" si="1"/>
        <v>45.586588501095854</v>
      </c>
      <c r="N19" s="1">
        <f t="shared" si="0"/>
        <v>42.907705716337674</v>
      </c>
      <c r="O19" s="2">
        <v>20108819</v>
      </c>
      <c r="P19" s="2">
        <v>46865286</v>
      </c>
      <c r="Q19" s="1">
        <f t="shared" si="2"/>
        <v>10.978459480494532</v>
      </c>
      <c r="R19" s="1">
        <v>130.01431166091476</v>
      </c>
      <c r="S19" s="1">
        <v>104.82424166365161</v>
      </c>
    </row>
    <row r="20" spans="1:19" x14ac:dyDescent="0.25">
      <c r="A20">
        <v>2008</v>
      </c>
      <c r="B20" s="1">
        <v>761944.2</v>
      </c>
      <c r="C20" s="1">
        <v>90952.9</v>
      </c>
      <c r="D20" s="1">
        <v>89951.7</v>
      </c>
      <c r="E20" s="1">
        <v>101.1</v>
      </c>
      <c r="F20" s="1">
        <v>533355.4</v>
      </c>
      <c r="G20" s="1">
        <v>540659</v>
      </c>
      <c r="H20" s="1">
        <v>98.6</v>
      </c>
      <c r="I20" s="1">
        <v>267968.90000000002</v>
      </c>
      <c r="J20" s="1">
        <v>5665.1</v>
      </c>
      <c r="K20" s="1">
        <v>1805.3</v>
      </c>
      <c r="L20" s="1">
        <v>1.4673333333333334</v>
      </c>
      <c r="M20" s="1">
        <f t="shared" si="1"/>
        <v>48.12649710260915</v>
      </c>
      <c r="N20" s="1">
        <f t="shared" si="0"/>
        <v>64.918090044163506</v>
      </c>
      <c r="O20" s="2">
        <v>14363898</v>
      </c>
      <c r="P20" s="2">
        <v>22126187</v>
      </c>
      <c r="Q20" s="1">
        <f t="shared" si="2"/>
        <v>11.196317577202974</v>
      </c>
      <c r="R20" s="1">
        <v>130.87576816991893</v>
      </c>
      <c r="S20" s="1">
        <v>96.279386507683114</v>
      </c>
    </row>
    <row r="21" spans="1:19" x14ac:dyDescent="0.25">
      <c r="A21">
        <v>2009</v>
      </c>
      <c r="B21" s="1">
        <v>754070.8</v>
      </c>
      <c r="C21" s="1">
        <v>77307.600000000006</v>
      </c>
      <c r="D21" s="1">
        <v>78443.3</v>
      </c>
      <c r="E21" s="1">
        <v>98.6</v>
      </c>
      <c r="F21" s="1">
        <v>499361.7</v>
      </c>
      <c r="G21" s="1">
        <v>508565.8</v>
      </c>
      <c r="H21" s="1">
        <v>98.2</v>
      </c>
      <c r="I21" s="1">
        <v>254795.6</v>
      </c>
      <c r="J21" s="1">
        <v>5625.6</v>
      </c>
      <c r="K21" s="1">
        <v>1756.8</v>
      </c>
      <c r="L21" s="1">
        <v>1.33375</v>
      </c>
      <c r="M21" s="1">
        <f t="shared" si="1"/>
        <v>50.48465613639442</v>
      </c>
      <c r="N21" s="1">
        <f t="shared" si="0"/>
        <v>59.746013063797555</v>
      </c>
      <c r="O21" s="2">
        <v>13531145</v>
      </c>
      <c r="P21" s="2">
        <v>22647779</v>
      </c>
      <c r="Q21" s="1">
        <f t="shared" si="2"/>
        <v>11.17942757488014</v>
      </c>
      <c r="R21" s="1">
        <v>129.56962937735909</v>
      </c>
      <c r="S21" s="1">
        <v>85.45146131530376</v>
      </c>
    </row>
    <row r="22" spans="1:19" x14ac:dyDescent="0.25">
      <c r="A22">
        <v>2010</v>
      </c>
      <c r="B22" s="1">
        <v>745677.4</v>
      </c>
      <c r="C22" s="1">
        <v>75167.100000000006</v>
      </c>
      <c r="D22" s="1">
        <v>77118</v>
      </c>
      <c r="E22" s="1">
        <v>97.5</v>
      </c>
      <c r="F22" s="1">
        <v>510139.6</v>
      </c>
      <c r="G22" s="1">
        <v>529602.4</v>
      </c>
      <c r="H22" s="1">
        <v>96.3</v>
      </c>
      <c r="I22" s="1">
        <v>252304.1</v>
      </c>
      <c r="J22" s="1">
        <v>5647</v>
      </c>
      <c r="K22" s="1">
        <v>1775.2</v>
      </c>
      <c r="L22" s="1">
        <v>1.1483333333333332</v>
      </c>
      <c r="M22" s="1">
        <f t="shared" si="1"/>
        <v>49.823310060131874</v>
      </c>
      <c r="N22" s="1">
        <f t="shared" si="0"/>
        <v>42.584021548142815</v>
      </c>
      <c r="O22" s="2">
        <v>14510091</v>
      </c>
      <c r="P22" s="2">
        <v>34074027</v>
      </c>
      <c r="Q22" s="1">
        <f t="shared" si="2"/>
        <v>11.081253908784161</v>
      </c>
      <c r="R22" s="1">
        <v>125.62660648178718</v>
      </c>
      <c r="S22" s="1">
        <v>93.836355652097652</v>
      </c>
    </row>
    <row r="23" spans="1:19" x14ac:dyDescent="0.25">
      <c r="A23">
        <v>2011</v>
      </c>
      <c r="B23" s="1">
        <v>737122.5</v>
      </c>
      <c r="C23" s="1">
        <v>76572.7</v>
      </c>
      <c r="D23" s="1">
        <v>79139.399999999994</v>
      </c>
      <c r="E23" s="1">
        <v>96.8</v>
      </c>
      <c r="F23" s="1">
        <v>501142</v>
      </c>
      <c r="G23" s="1">
        <v>528541.30000000005</v>
      </c>
      <c r="H23" s="1">
        <v>94.8</v>
      </c>
      <c r="I23" s="1">
        <v>252732.3</v>
      </c>
      <c r="J23" s="1">
        <v>5647.7</v>
      </c>
      <c r="K23" s="1">
        <v>1770.2</v>
      </c>
      <c r="L23" s="1">
        <v>1.1024166666666666</v>
      </c>
      <c r="M23" s="1">
        <f t="shared" si="1"/>
        <v>50.325053016775641</v>
      </c>
      <c r="N23" s="1">
        <f t="shared" si="0"/>
        <v>41.469434711436691</v>
      </c>
      <c r="O23" s="2">
        <v>15084183</v>
      </c>
      <c r="P23" s="2">
        <v>36374219</v>
      </c>
      <c r="Q23" s="1">
        <f t="shared" si="2"/>
        <v>11.41614322762095</v>
      </c>
      <c r="R23" s="1">
        <v>114.48357513919221</v>
      </c>
      <c r="S23" s="1">
        <v>89.013065480280829</v>
      </c>
    </row>
    <row r="24" spans="1:19" x14ac:dyDescent="0.25">
      <c r="A24">
        <v>2012</v>
      </c>
      <c r="B24" s="1">
        <v>735926.4</v>
      </c>
      <c r="C24" s="1">
        <v>79409.3</v>
      </c>
      <c r="D24" s="1">
        <v>82412.600000000006</v>
      </c>
      <c r="E24" s="1">
        <v>96.4</v>
      </c>
      <c r="F24" s="1">
        <v>505377.1</v>
      </c>
      <c r="G24" s="1">
        <v>537256.6</v>
      </c>
      <c r="H24" s="1">
        <v>94.1</v>
      </c>
      <c r="I24" s="1">
        <v>252878.7</v>
      </c>
      <c r="J24" s="1">
        <v>5629.3</v>
      </c>
      <c r="K24" s="1">
        <v>1782.3</v>
      </c>
      <c r="L24" s="1">
        <v>0.83558333333333323</v>
      </c>
      <c r="M24" s="1">
        <f t="shared" si="1"/>
        <v>49.51410606061431</v>
      </c>
      <c r="N24" s="1">
        <f t="shared" si="0"/>
        <v>38.85297093553099</v>
      </c>
      <c r="O24" s="2">
        <v>15428554</v>
      </c>
      <c r="P24" s="2">
        <v>39710101</v>
      </c>
      <c r="Q24" s="1">
        <f t="shared" si="2"/>
        <v>10.9351430732341</v>
      </c>
      <c r="R24" s="1">
        <v>108.20135379013169</v>
      </c>
      <c r="S24" s="1">
        <v>90.613773986333214</v>
      </c>
    </row>
    <row r="25" spans="1:19" x14ac:dyDescent="0.25">
      <c r="A25">
        <v>2013</v>
      </c>
      <c r="B25" s="1">
        <v>735587.2</v>
      </c>
      <c r="C25" s="1">
        <v>81868</v>
      </c>
      <c r="D25" s="1">
        <v>84303.3</v>
      </c>
      <c r="E25" s="1">
        <v>97.1</v>
      </c>
      <c r="F25" s="1">
        <v>514553.3</v>
      </c>
      <c r="G25" s="1">
        <v>547987.1</v>
      </c>
      <c r="H25" s="1">
        <v>93.9</v>
      </c>
      <c r="I25" s="1">
        <v>254642.2</v>
      </c>
      <c r="J25" s="1">
        <v>5668.8</v>
      </c>
      <c r="K25" s="1">
        <v>1763</v>
      </c>
      <c r="L25" s="1">
        <v>0.68966666666666676</v>
      </c>
      <c r="M25" s="1">
        <f t="shared" si="1"/>
        <v>42.860782477943289</v>
      </c>
      <c r="N25" s="1">
        <f t="shared" si="0"/>
        <v>31.651472130808401</v>
      </c>
      <c r="O25" s="2">
        <v>17894651</v>
      </c>
      <c r="P25" s="2">
        <v>56536552</v>
      </c>
      <c r="Q25" s="1">
        <f t="shared" si="2"/>
        <v>11.17057357909705</v>
      </c>
      <c r="R25" s="1">
        <v>106.43526576315357</v>
      </c>
      <c r="S25" s="1">
        <v>94.105427948075331</v>
      </c>
    </row>
    <row r="26" spans="1:19" x14ac:dyDescent="0.25">
      <c r="A26">
        <v>2014</v>
      </c>
      <c r="B26" s="1">
        <v>740014.3</v>
      </c>
      <c r="C26" s="1">
        <v>88612.800000000003</v>
      </c>
      <c r="D26" s="1">
        <v>90047</v>
      </c>
      <c r="E26" s="1">
        <v>98.4</v>
      </c>
      <c r="F26" s="1">
        <v>528215.6</v>
      </c>
      <c r="G26" s="1">
        <v>552951.4</v>
      </c>
      <c r="H26" s="1">
        <v>95.5</v>
      </c>
      <c r="I26" s="1">
        <v>258856</v>
      </c>
      <c r="J26" s="1">
        <v>5701.8</v>
      </c>
      <c r="K26" s="1">
        <v>1758.4</v>
      </c>
      <c r="L26" s="1">
        <v>0.52033333333333331</v>
      </c>
      <c r="M26" s="1">
        <f t="shared" si="1"/>
        <v>36.749755343255814</v>
      </c>
      <c r="N26" s="1">
        <f t="shared" si="0"/>
        <v>29.19087739036015</v>
      </c>
      <c r="O26" s="2">
        <v>17608148</v>
      </c>
      <c r="P26" s="2">
        <v>60320722</v>
      </c>
      <c r="Q26" s="1">
        <f t="shared" si="2"/>
        <v>11.444693436753651</v>
      </c>
      <c r="R26" s="1">
        <v>101.34425778320755</v>
      </c>
      <c r="S26" s="1">
        <v>93.739947528383681</v>
      </c>
    </row>
    <row r="27" spans="1:19" x14ac:dyDescent="0.25">
      <c r="A27">
        <v>2015</v>
      </c>
      <c r="B27" s="1">
        <v>748231.3</v>
      </c>
      <c r="C27" s="1">
        <v>94492</v>
      </c>
      <c r="D27" s="1">
        <v>95206.399999999994</v>
      </c>
      <c r="E27" s="1">
        <v>99.2</v>
      </c>
      <c r="F27" s="1">
        <v>548866.69999999995</v>
      </c>
      <c r="G27" s="1">
        <v>562904.4</v>
      </c>
      <c r="H27" s="1">
        <v>97.5</v>
      </c>
      <c r="I27" s="1">
        <v>261384.7</v>
      </c>
      <c r="J27" s="1">
        <v>5733.9</v>
      </c>
      <c r="K27" s="1">
        <v>1752.4</v>
      </c>
      <c r="L27" s="1">
        <v>0.34999999999999992</v>
      </c>
      <c r="M27" s="1">
        <f t="shared" si="1"/>
        <v>34.106402455974845</v>
      </c>
      <c r="N27" s="1">
        <f t="shared" si="0"/>
        <v>29.367257111737988</v>
      </c>
      <c r="O27" s="2">
        <v>17786923</v>
      </c>
      <c r="P27" s="2">
        <v>60567192</v>
      </c>
      <c r="Q27" s="1">
        <f t="shared" si="2"/>
        <v>11.658558490018368</v>
      </c>
      <c r="R27" s="1">
        <v>100</v>
      </c>
      <c r="S27" s="1">
        <v>100</v>
      </c>
    </row>
    <row r="28" spans="1:19" x14ac:dyDescent="0.25">
      <c r="A28">
        <v>2016</v>
      </c>
      <c r="B28" s="1">
        <v>755926.3</v>
      </c>
      <c r="C28" s="1">
        <v>94146</v>
      </c>
      <c r="D28" s="1">
        <v>95386.2</v>
      </c>
      <c r="E28" s="1">
        <v>98.7</v>
      </c>
      <c r="F28" s="1">
        <v>555970.6</v>
      </c>
      <c r="G28" s="1">
        <v>566872.80000000005</v>
      </c>
      <c r="H28" s="1">
        <v>98.1</v>
      </c>
      <c r="I28" s="1">
        <v>266925.7</v>
      </c>
      <c r="J28" s="1">
        <v>5812.4</v>
      </c>
      <c r="K28" s="1">
        <v>1743.9</v>
      </c>
      <c r="L28" s="1">
        <v>-6.6249999999999989E-2</v>
      </c>
      <c r="M28" s="1">
        <f t="shared" si="1"/>
        <v>31.155451964405234</v>
      </c>
      <c r="N28" s="1">
        <f t="shared" si="0"/>
        <v>26.714682253588652</v>
      </c>
      <c r="O28" s="2">
        <v>18110384</v>
      </c>
      <c r="P28" s="2">
        <v>67791875</v>
      </c>
      <c r="Q28" s="1">
        <f t="shared" si="2"/>
        <v>11.554047525143627</v>
      </c>
      <c r="R28" s="1">
        <v>99.344337384201467</v>
      </c>
      <c r="S28" s="1">
        <v>98.736250140436212</v>
      </c>
    </row>
    <row r="29" spans="1:19" x14ac:dyDescent="0.25">
      <c r="A29">
        <v>2017</v>
      </c>
      <c r="B29" s="1">
        <v>763930.4</v>
      </c>
      <c r="C29" s="1">
        <v>97331.7</v>
      </c>
      <c r="D29" s="1">
        <v>97848.9</v>
      </c>
      <c r="E29" s="1">
        <v>99.5</v>
      </c>
      <c r="F29" s="1">
        <v>565119</v>
      </c>
      <c r="G29" s="1">
        <v>576075.69999999995</v>
      </c>
      <c r="H29" s="1">
        <v>98.1</v>
      </c>
      <c r="I29" s="1">
        <v>271000.40000000002</v>
      </c>
      <c r="J29" s="1">
        <v>5876</v>
      </c>
      <c r="K29" s="1">
        <v>1745.1</v>
      </c>
      <c r="L29" s="1">
        <v>5.1666666666666673E-2</v>
      </c>
      <c r="M29" s="1">
        <f t="shared" si="1"/>
        <v>28.321250452807572</v>
      </c>
      <c r="N29" s="1">
        <f t="shared" si="0"/>
        <v>24.681963377542683</v>
      </c>
      <c r="O29" s="2">
        <v>19990321</v>
      </c>
      <c r="P29" s="2">
        <v>80991616</v>
      </c>
      <c r="Q29" s="1">
        <f t="shared" si="2"/>
        <v>11.816972104291116</v>
      </c>
      <c r="R29" s="1">
        <v>101.22243190969431</v>
      </c>
      <c r="S29" s="1">
        <v>99.671156403377509</v>
      </c>
    </row>
    <row r="30" spans="1:19" x14ac:dyDescent="0.25">
      <c r="A30">
        <v>2018</v>
      </c>
      <c r="B30" s="1">
        <v>774702.1</v>
      </c>
      <c r="C30" s="1">
        <v>100849.3</v>
      </c>
      <c r="D30" s="1">
        <v>100844</v>
      </c>
      <c r="E30" s="1">
        <v>100</v>
      </c>
      <c r="F30" s="1">
        <v>569153.5</v>
      </c>
      <c r="G30" s="1">
        <v>580881</v>
      </c>
      <c r="H30" s="1">
        <v>98</v>
      </c>
      <c r="I30" s="1">
        <v>279905.7</v>
      </c>
      <c r="J30" s="1">
        <v>5989.5</v>
      </c>
      <c r="K30" s="1">
        <v>1727.8</v>
      </c>
      <c r="L30" s="1">
        <v>6.4999999999999988E-2</v>
      </c>
      <c r="M30" s="1">
        <f t="shared" si="1"/>
        <v>26.802017505469603</v>
      </c>
      <c r="N30" s="1">
        <f t="shared" si="0"/>
        <v>24.055307394118536</v>
      </c>
      <c r="O30" s="2">
        <v>19678647</v>
      </c>
      <c r="P30" s="2">
        <v>81805843</v>
      </c>
      <c r="Q30" s="1">
        <f t="shared" si="2"/>
        <v>11.791335964637629</v>
      </c>
      <c r="R30" s="1">
        <v>95.316104339729804</v>
      </c>
      <c r="S30" s="1">
        <v>94.964544032083779</v>
      </c>
    </row>
    <row r="31" spans="1:19" x14ac:dyDescent="0.25">
      <c r="A31">
        <v>2019</v>
      </c>
      <c r="B31" s="1">
        <v>783363.9</v>
      </c>
      <c r="C31" s="1">
        <v>101949.7</v>
      </c>
      <c r="D31" s="1">
        <v>101731.7</v>
      </c>
      <c r="E31" s="1">
        <v>100.2</v>
      </c>
      <c r="F31" s="1">
        <v>571838</v>
      </c>
      <c r="G31" s="1">
        <v>579089</v>
      </c>
      <c r="H31" s="1">
        <v>98.7</v>
      </c>
      <c r="I31" s="1">
        <v>284889.7</v>
      </c>
      <c r="J31" s="1">
        <v>6058.6</v>
      </c>
      <c r="K31" s="1">
        <v>1696.6</v>
      </c>
      <c r="L31" s="1">
        <v>-0.11041666666666666</v>
      </c>
      <c r="M31" s="1">
        <f t="shared" si="1"/>
        <v>26.758976214554316</v>
      </c>
      <c r="N31" s="1">
        <f t="shared" si="0"/>
        <v>28.975670935783715</v>
      </c>
      <c r="O31" s="2">
        <v>18267249</v>
      </c>
      <c r="P31" s="2">
        <v>63043403</v>
      </c>
      <c r="Q31" s="1">
        <f t="shared" si="2"/>
        <v>12.04177709083271</v>
      </c>
      <c r="R31" s="1">
        <v>91.40435369661823</v>
      </c>
      <c r="S31" s="1">
        <v>90.793758484333352</v>
      </c>
    </row>
    <row r="32" spans="1:19" x14ac:dyDescent="0.25">
      <c r="A32">
        <v>2020</v>
      </c>
      <c r="B32" s="1">
        <v>785491.9</v>
      </c>
      <c r="C32" s="1">
        <v>97037.4</v>
      </c>
      <c r="D32" s="1">
        <v>97037.4</v>
      </c>
      <c r="E32" s="1">
        <v>100</v>
      </c>
      <c r="F32" s="1">
        <v>554074.4</v>
      </c>
      <c r="G32" s="1">
        <v>554285</v>
      </c>
      <c r="H32" s="1">
        <v>100</v>
      </c>
      <c r="I32" s="1">
        <v>281114.40000000002</v>
      </c>
      <c r="J32" s="1">
        <v>6033.3</v>
      </c>
      <c r="K32" s="1">
        <v>1659.7</v>
      </c>
      <c r="L32" s="1">
        <v>-5.4166666666666634E-3</v>
      </c>
      <c r="M32" s="1">
        <f t="shared" si="1"/>
        <v>27.403658291459656</v>
      </c>
      <c r="N32" s="1">
        <f t="shared" si="0"/>
        <v>32.590667496264693</v>
      </c>
      <c r="O32" s="2">
        <v>18150667</v>
      </c>
      <c r="P32" s="2">
        <v>55692836</v>
      </c>
      <c r="Q32" s="1">
        <f t="shared" si="2"/>
        <v>12.115620850028961</v>
      </c>
      <c r="R32" s="1">
        <v>91.346076984611273</v>
      </c>
      <c r="S32" s="1">
        <v>80.967273510427304</v>
      </c>
    </row>
    <row r="33" spans="1:19" x14ac:dyDescent="0.25">
      <c r="A33">
        <v>2021</v>
      </c>
      <c r="B33" s="1">
        <v>789000.5</v>
      </c>
      <c r="C33" s="1">
        <v>100800.9</v>
      </c>
      <c r="D33" s="1">
        <v>99381.3</v>
      </c>
      <c r="E33" s="1">
        <v>101.4</v>
      </c>
      <c r="F33" s="1">
        <v>573568.80000000005</v>
      </c>
      <c r="G33" s="1">
        <v>574040.80000000005</v>
      </c>
      <c r="H33" s="1">
        <v>99.9</v>
      </c>
      <c r="I33" s="1">
        <v>287685.3</v>
      </c>
      <c r="J33" s="1">
        <v>6051.2</v>
      </c>
      <c r="K33" s="1">
        <v>1678.4</v>
      </c>
      <c r="L33" s="1">
        <v>7.166666666666667E-2</v>
      </c>
      <c r="M33" s="1">
        <f t="shared" si="1"/>
        <v>27.177147456032884</v>
      </c>
      <c r="N33" s="1">
        <f t="shared" si="0"/>
        <v>25.582128076454815</v>
      </c>
      <c r="O33" s="2">
        <v>21601749</v>
      </c>
      <c r="P33" s="2">
        <v>84440782</v>
      </c>
      <c r="Q33" s="1">
        <f t="shared" si="2"/>
        <v>12.386162097915975</v>
      </c>
      <c r="R33" s="1" t="s">
        <v>18</v>
      </c>
      <c r="S33" s="1">
        <v>83.393679494370261</v>
      </c>
    </row>
    <row r="34" spans="1:19" x14ac:dyDescent="0.25">
      <c r="A34">
        <v>2022</v>
      </c>
      <c r="B34" s="1">
        <v>794844.7</v>
      </c>
      <c r="C34" s="1">
        <v>107813.7</v>
      </c>
      <c r="D34" s="1">
        <v>102455.3</v>
      </c>
      <c r="E34" s="1">
        <v>105.2</v>
      </c>
      <c r="F34" s="1">
        <v>584900.6</v>
      </c>
      <c r="G34" s="1">
        <v>581685</v>
      </c>
      <c r="H34" s="1">
        <v>100.6</v>
      </c>
      <c r="I34" s="1">
        <v>295447.40000000002</v>
      </c>
      <c r="J34" s="1">
        <v>6086.3</v>
      </c>
      <c r="K34" s="1">
        <v>1675.5</v>
      </c>
      <c r="L34" s="1">
        <v>0.23166666666666666</v>
      </c>
      <c r="M34" s="1">
        <f t="shared" si="1"/>
        <v>27.028655841924593</v>
      </c>
      <c r="N34" s="1">
        <f t="shared" si="0"/>
        <v>23.939505307001205</v>
      </c>
      <c r="O34" s="2">
        <v>23515247</v>
      </c>
      <c r="P34" s="2">
        <v>98227790</v>
      </c>
      <c r="Q34" s="1">
        <f t="shared" si="2"/>
        <v>12.923882811227621</v>
      </c>
      <c r="R34" s="1" t="s">
        <v>18</v>
      </c>
      <c r="S34" s="1">
        <v>83.722017532311483</v>
      </c>
    </row>
    <row r="35" spans="1:19" x14ac:dyDescent="0.25">
      <c r="A35">
        <v>2023</v>
      </c>
      <c r="B35" s="1">
        <v>801669.7</v>
      </c>
      <c r="C35" s="1">
        <v>113786.1</v>
      </c>
      <c r="D35" s="1">
        <v>104246.7</v>
      </c>
      <c r="E35" s="1">
        <v>109.2</v>
      </c>
      <c r="F35" s="1">
        <v>616033</v>
      </c>
      <c r="G35" s="1">
        <v>585877.69999999995</v>
      </c>
      <c r="H35" s="1">
        <v>105.1</v>
      </c>
      <c r="I35" s="1">
        <v>300547</v>
      </c>
      <c r="J35" s="1">
        <v>6129.3</v>
      </c>
      <c r="K35" s="1">
        <v>1677.9</v>
      </c>
      <c r="L35" s="1">
        <v>0.56250000000000011</v>
      </c>
      <c r="M35" s="1">
        <f t="shared" si="1"/>
        <v>27.172550470504312</v>
      </c>
      <c r="N35" s="1">
        <f t="shared" si="0"/>
        <v>24.774780537017136</v>
      </c>
      <c r="O35" s="2">
        <v>26339300</v>
      </c>
      <c r="P35" s="2">
        <v>106314968</v>
      </c>
      <c r="Q35" s="1">
        <f t="shared" si="2"/>
        <v>13.456855156736905</v>
      </c>
      <c r="R35" s="1" t="s">
        <v>18</v>
      </c>
      <c r="S35" s="1">
        <v>97.891785162845878</v>
      </c>
    </row>
    <row r="36" spans="1:19" x14ac:dyDescent="0.25">
      <c r="A36">
        <v>2024</v>
      </c>
      <c r="B36" s="1">
        <v>820134.40000000002</v>
      </c>
      <c r="C36" s="1">
        <v>117611.9</v>
      </c>
      <c r="D36" s="1">
        <v>104104.9</v>
      </c>
      <c r="E36" s="1">
        <v>113</v>
      </c>
      <c r="F36" s="1">
        <v>634226</v>
      </c>
      <c r="G36" s="1">
        <v>584471.1</v>
      </c>
      <c r="H36" s="1">
        <v>108.5</v>
      </c>
      <c r="I36" s="1">
        <v>311663</v>
      </c>
      <c r="J36" s="1">
        <v>6184.2</v>
      </c>
      <c r="K36" s="1">
        <v>1661.5</v>
      </c>
      <c r="L36" s="1">
        <v>0.91833333333333345</v>
      </c>
      <c r="M36" s="1">
        <f t="shared" si="1"/>
        <v>25.957248065412493</v>
      </c>
      <c r="N36" s="1">
        <f t="shared" si="0"/>
        <v>22.899158910324608</v>
      </c>
      <c r="O36" s="2">
        <v>26366700</v>
      </c>
      <c r="P36" s="2">
        <v>115142657</v>
      </c>
      <c r="Q36" s="1">
        <f t="shared" si="2"/>
        <v>12.367587299357822</v>
      </c>
      <c r="R36" s="1" t="s">
        <v>18</v>
      </c>
      <c r="S36" s="1" t="s">
        <v>18</v>
      </c>
    </row>
    <row r="37" spans="1:19" x14ac:dyDescent="0.25">
      <c r="A37">
        <v>2025</v>
      </c>
      <c r="L37" s="1">
        <v>1.553333333333333</v>
      </c>
    </row>
    <row r="38" spans="1:19" x14ac:dyDescent="0.25">
      <c r="A38">
        <v>2026</v>
      </c>
    </row>
    <row r="39" spans="1:19" x14ac:dyDescent="0.25">
      <c r="A39">
        <v>2027</v>
      </c>
    </row>
    <row r="40" spans="1:19" x14ac:dyDescent="0.25">
      <c r="A40">
        <v>2028</v>
      </c>
    </row>
    <row r="41" spans="1:19" x14ac:dyDescent="0.25">
      <c r="A41">
        <v>2029</v>
      </c>
    </row>
    <row r="42" spans="1:19" x14ac:dyDescent="0.25">
      <c r="A42">
        <v>2030</v>
      </c>
    </row>
    <row r="43" spans="1:19" x14ac:dyDescent="0.25">
      <c r="A43">
        <v>2031</v>
      </c>
    </row>
    <row r="44" spans="1:19" x14ac:dyDescent="0.25">
      <c r="A44">
        <v>2032</v>
      </c>
    </row>
    <row r="45" spans="1:19" x14ac:dyDescent="0.25">
      <c r="A45">
        <v>2033</v>
      </c>
    </row>
    <row r="46" spans="1:19" x14ac:dyDescent="0.25">
      <c r="A46">
        <v>2034</v>
      </c>
    </row>
    <row r="47" spans="1:19" x14ac:dyDescent="0.25">
      <c r="A47">
        <v>2035</v>
      </c>
    </row>
    <row r="48" spans="1:19" x14ac:dyDescent="0.25">
      <c r="A48">
        <v>2036</v>
      </c>
    </row>
    <row r="49" spans="1:1" x14ac:dyDescent="0.25">
      <c r="A49">
        <v>2037</v>
      </c>
    </row>
    <row r="50" spans="1:1" x14ac:dyDescent="0.25">
      <c r="A50">
        <v>2038</v>
      </c>
    </row>
    <row r="51" spans="1:1" x14ac:dyDescent="0.25">
      <c r="A51">
        <v>2039</v>
      </c>
    </row>
    <row r="52" spans="1:1" x14ac:dyDescent="0.25">
      <c r="A52">
        <v>2040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2026-05-25T11:57:10Z</dcterms:created>
  <dcterms:modified xsi:type="dcterms:W3CDTF">2026-06-11T22:39:02Z</dcterms:modified>
</cp:coreProperties>
</file>
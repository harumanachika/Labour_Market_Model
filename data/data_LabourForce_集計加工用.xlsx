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436D8660-46C3-44C4-91A2-8C966349B97F}" xr6:coauthVersionLast="47" xr6:coauthVersionMax="47" xr10:uidLastSave="{00000000-0000-0000-0000-000000000000}"/>
  <bookViews>
    <workbookView xWindow="-108" yWindow="-108" windowWidth="23256" windowHeight="12456" activeTab="1" xr2:uid="{42002C09-DB0D-4CC9-9E01-26328C05B93E}"/>
  </bookViews>
  <sheets>
    <sheet name="data_LabourForce" sheetId="1" r:id="rId1"/>
    <sheet name="集計加工用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3" i="2" l="1"/>
  <c r="AD34" i="2"/>
  <c r="AD35" i="2"/>
  <c r="AD36" i="2"/>
  <c r="AD37" i="2"/>
  <c r="AD38" i="2"/>
  <c r="P47" i="1"/>
  <c r="M47" i="1"/>
  <c r="L47" i="1"/>
  <c r="K47" i="1"/>
  <c r="J47" i="1"/>
  <c r="F47" i="1"/>
  <c r="E47" i="1"/>
  <c r="P46" i="1"/>
  <c r="M46" i="1"/>
  <c r="L46" i="1"/>
  <c r="K46" i="1"/>
  <c r="J46" i="1"/>
  <c r="F46" i="1"/>
  <c r="E46" i="1"/>
  <c r="P45" i="1"/>
  <c r="M45" i="1"/>
  <c r="L45" i="1"/>
  <c r="K45" i="1"/>
  <c r="J45" i="1"/>
  <c r="F45" i="1"/>
  <c r="E45" i="1"/>
  <c r="P44" i="1"/>
  <c r="M44" i="1"/>
  <c r="L44" i="1"/>
  <c r="K44" i="1"/>
  <c r="J44" i="1"/>
  <c r="F44" i="1"/>
  <c r="E44" i="1"/>
  <c r="P43" i="1"/>
  <c r="M43" i="1"/>
  <c r="L43" i="1"/>
  <c r="K43" i="1"/>
  <c r="J43" i="1"/>
  <c r="F43" i="1"/>
  <c r="E43" i="1"/>
  <c r="P42" i="1"/>
  <c r="M42" i="1"/>
  <c r="L42" i="1"/>
  <c r="K42" i="1"/>
  <c r="J42" i="1"/>
  <c r="F42" i="1"/>
  <c r="E42" i="1"/>
  <c r="P41" i="1"/>
  <c r="M41" i="1"/>
  <c r="L41" i="1"/>
  <c r="K41" i="1"/>
  <c r="J41" i="1"/>
  <c r="F41" i="1"/>
  <c r="E41" i="1"/>
  <c r="P40" i="1"/>
  <c r="M40" i="1"/>
  <c r="L40" i="1"/>
  <c r="K40" i="1"/>
  <c r="J40" i="1"/>
  <c r="F40" i="1"/>
  <c r="E40" i="1"/>
  <c r="P39" i="1"/>
  <c r="M39" i="1"/>
  <c r="L39" i="1"/>
  <c r="K39" i="1"/>
  <c r="J39" i="1"/>
  <c r="F39" i="1"/>
  <c r="E39" i="1"/>
  <c r="P38" i="1"/>
  <c r="M38" i="1"/>
  <c r="L38" i="1"/>
  <c r="K38" i="1"/>
  <c r="J38" i="1"/>
  <c r="F38" i="1"/>
  <c r="E38" i="1"/>
  <c r="P37" i="1"/>
  <c r="M37" i="1"/>
  <c r="L37" i="1"/>
  <c r="K37" i="1"/>
  <c r="J37" i="1"/>
  <c r="F37" i="1"/>
  <c r="E37" i="1"/>
  <c r="P36" i="1"/>
  <c r="M36" i="1"/>
  <c r="L36" i="1"/>
  <c r="K36" i="1"/>
  <c r="J36" i="1"/>
  <c r="F36" i="1"/>
  <c r="E36" i="1"/>
  <c r="P35" i="1"/>
  <c r="N35" i="1"/>
  <c r="M35" i="1"/>
  <c r="L35" i="1"/>
  <c r="K35" i="1"/>
  <c r="J35" i="1"/>
  <c r="F35" i="1"/>
  <c r="E35" i="1"/>
  <c r="P34" i="1"/>
  <c r="N34" i="1"/>
  <c r="M34" i="1"/>
  <c r="L34" i="1"/>
  <c r="K34" i="1"/>
  <c r="J34" i="1"/>
  <c r="F34" i="1"/>
  <c r="E34" i="1"/>
  <c r="P33" i="1"/>
  <c r="N33" i="1"/>
  <c r="M33" i="1"/>
  <c r="L33" i="1"/>
  <c r="K33" i="1"/>
  <c r="J33" i="1"/>
  <c r="F33" i="1"/>
  <c r="E33" i="1"/>
  <c r="P32" i="1"/>
  <c r="O32" i="1"/>
  <c r="L32" i="1"/>
  <c r="K32" i="1"/>
  <c r="J32" i="1"/>
  <c r="H32" i="1"/>
  <c r="G32" i="1"/>
  <c r="C32" i="1"/>
  <c r="B32" i="1"/>
  <c r="P31" i="1"/>
  <c r="O31" i="1"/>
  <c r="L31" i="1"/>
  <c r="K31" i="1"/>
  <c r="J31" i="1"/>
  <c r="H31" i="1"/>
  <c r="G31" i="1"/>
  <c r="C31" i="1"/>
  <c r="B31" i="1"/>
  <c r="P30" i="1"/>
  <c r="O30" i="1"/>
  <c r="L30" i="1"/>
  <c r="K30" i="1"/>
  <c r="J30" i="1"/>
  <c r="H30" i="1"/>
  <c r="G30" i="1"/>
  <c r="C30" i="1"/>
  <c r="B30" i="1"/>
  <c r="P29" i="1"/>
  <c r="O29" i="1"/>
  <c r="L29" i="1"/>
  <c r="K29" i="1"/>
  <c r="J29" i="1"/>
  <c r="H29" i="1"/>
  <c r="G29" i="1"/>
  <c r="C29" i="1"/>
  <c r="B29" i="1"/>
  <c r="P28" i="1"/>
  <c r="O28" i="1"/>
  <c r="N28" i="1"/>
  <c r="L28" i="1"/>
  <c r="K28" i="1"/>
  <c r="J28" i="1"/>
  <c r="H28" i="1"/>
  <c r="G28" i="1"/>
  <c r="C28" i="1"/>
  <c r="B28" i="1"/>
  <c r="P27" i="1"/>
  <c r="O27" i="1"/>
  <c r="L27" i="1"/>
  <c r="K27" i="1"/>
  <c r="J27" i="1"/>
  <c r="H27" i="1"/>
  <c r="G27" i="1"/>
  <c r="C27" i="1"/>
  <c r="B27" i="1"/>
  <c r="P26" i="1"/>
  <c r="O26" i="1"/>
  <c r="L26" i="1"/>
  <c r="K26" i="1"/>
  <c r="J26" i="1"/>
  <c r="H26" i="1"/>
  <c r="G26" i="1"/>
  <c r="C26" i="1"/>
  <c r="B26" i="1"/>
  <c r="P25" i="1"/>
  <c r="O25" i="1"/>
  <c r="L25" i="1"/>
  <c r="K25" i="1"/>
  <c r="J25" i="1"/>
  <c r="H25" i="1"/>
  <c r="G25" i="1"/>
  <c r="C25" i="1"/>
  <c r="B25" i="1"/>
  <c r="P24" i="1"/>
  <c r="O24" i="1"/>
  <c r="L24" i="1"/>
  <c r="K24" i="1"/>
  <c r="J24" i="1"/>
  <c r="H24" i="1"/>
  <c r="G24" i="1"/>
  <c r="C24" i="1"/>
  <c r="B24" i="1"/>
  <c r="P23" i="1"/>
  <c r="O23" i="1"/>
  <c r="L23" i="1"/>
  <c r="K23" i="1"/>
  <c r="J23" i="1"/>
  <c r="H23" i="1"/>
  <c r="G23" i="1"/>
  <c r="C23" i="1"/>
  <c r="B23" i="1"/>
  <c r="P22" i="1"/>
  <c r="O22" i="1"/>
  <c r="L22" i="1"/>
  <c r="K22" i="1"/>
  <c r="J22" i="1"/>
  <c r="H22" i="1"/>
  <c r="G22" i="1"/>
  <c r="C22" i="1"/>
  <c r="B22" i="1"/>
  <c r="P21" i="1"/>
  <c r="O21" i="1"/>
  <c r="L21" i="1"/>
  <c r="K21" i="1"/>
  <c r="J21" i="1"/>
  <c r="H21" i="1"/>
  <c r="G21" i="1"/>
  <c r="C21" i="1"/>
  <c r="B21" i="1"/>
  <c r="P20" i="1"/>
  <c r="O20" i="1"/>
  <c r="L20" i="1"/>
  <c r="K20" i="1"/>
  <c r="J20" i="1"/>
  <c r="H20" i="1"/>
  <c r="G20" i="1"/>
  <c r="C20" i="1"/>
  <c r="B20" i="1"/>
  <c r="P19" i="1"/>
  <c r="O19" i="1"/>
  <c r="L19" i="1"/>
  <c r="K19" i="1"/>
  <c r="J19" i="1"/>
  <c r="H19" i="1"/>
  <c r="G19" i="1"/>
  <c r="C19" i="1"/>
  <c r="B19" i="1"/>
  <c r="P18" i="1"/>
  <c r="O18" i="1"/>
  <c r="L18" i="1"/>
  <c r="K18" i="1"/>
  <c r="J18" i="1"/>
  <c r="H18" i="1"/>
  <c r="G18" i="1"/>
  <c r="C18" i="1"/>
  <c r="B18" i="1"/>
  <c r="P17" i="1"/>
  <c r="O17" i="1"/>
  <c r="L17" i="1"/>
  <c r="K17" i="1"/>
  <c r="J17" i="1"/>
  <c r="H17" i="1"/>
  <c r="G17" i="1"/>
  <c r="C17" i="1"/>
  <c r="B17" i="1"/>
  <c r="P16" i="1"/>
  <c r="O16" i="1"/>
  <c r="L16" i="1"/>
  <c r="K16" i="1"/>
  <c r="J16" i="1"/>
  <c r="H16" i="1"/>
  <c r="G16" i="1"/>
  <c r="C16" i="1"/>
  <c r="B16" i="1"/>
  <c r="P15" i="1"/>
  <c r="O15" i="1"/>
  <c r="L15" i="1"/>
  <c r="K15" i="1"/>
  <c r="J15" i="1"/>
  <c r="H15" i="1"/>
  <c r="G15" i="1"/>
  <c r="C15" i="1"/>
  <c r="B15" i="1"/>
  <c r="P14" i="1"/>
  <c r="O14" i="1"/>
  <c r="L14" i="1"/>
  <c r="K14" i="1"/>
  <c r="J14" i="1"/>
  <c r="H14" i="1"/>
  <c r="G14" i="1"/>
  <c r="C14" i="1"/>
  <c r="B14" i="1"/>
  <c r="P13" i="1"/>
  <c r="O13" i="1"/>
  <c r="L13" i="1"/>
  <c r="K13" i="1"/>
  <c r="J13" i="1"/>
  <c r="H13" i="1"/>
  <c r="G13" i="1"/>
  <c r="C13" i="1"/>
  <c r="B13" i="1"/>
  <c r="P12" i="1"/>
  <c r="O12" i="1"/>
  <c r="N12" i="1"/>
  <c r="L12" i="1"/>
  <c r="K12" i="1"/>
  <c r="J12" i="1"/>
  <c r="H12" i="1"/>
  <c r="G12" i="1"/>
  <c r="C12" i="1"/>
  <c r="B12" i="1"/>
  <c r="P11" i="1"/>
  <c r="O11" i="1"/>
  <c r="N11" i="1"/>
  <c r="L11" i="1"/>
  <c r="K11" i="1"/>
  <c r="J11" i="1"/>
  <c r="H11" i="1"/>
  <c r="G11" i="1"/>
  <c r="C11" i="1"/>
  <c r="B11" i="1"/>
  <c r="P10" i="1"/>
  <c r="O10" i="1"/>
  <c r="N10" i="1"/>
  <c r="L10" i="1"/>
  <c r="K10" i="1"/>
  <c r="J10" i="1"/>
  <c r="H10" i="1"/>
  <c r="G10" i="1"/>
  <c r="C10" i="1"/>
  <c r="B10" i="1"/>
  <c r="P9" i="1"/>
  <c r="O9" i="1"/>
  <c r="N9" i="1"/>
  <c r="L9" i="1"/>
  <c r="K9" i="1"/>
  <c r="J9" i="1"/>
  <c r="H9" i="1"/>
  <c r="G9" i="1"/>
  <c r="C9" i="1"/>
  <c r="B9" i="1"/>
  <c r="P8" i="1"/>
  <c r="O8" i="1"/>
  <c r="N8" i="1"/>
  <c r="L8" i="1"/>
  <c r="K8" i="1"/>
  <c r="J8" i="1"/>
  <c r="H8" i="1"/>
  <c r="G8" i="1"/>
  <c r="C8" i="1"/>
  <c r="B8" i="1"/>
  <c r="P7" i="1"/>
  <c r="O7" i="1"/>
  <c r="N7" i="1"/>
  <c r="L7" i="1"/>
  <c r="K7" i="1"/>
  <c r="J7" i="1"/>
  <c r="H7" i="1"/>
  <c r="G7" i="1"/>
  <c r="C7" i="1"/>
  <c r="B7" i="1"/>
  <c r="P6" i="1"/>
  <c r="O6" i="1"/>
  <c r="N6" i="1"/>
  <c r="L6" i="1"/>
  <c r="K6" i="1"/>
  <c r="J6" i="1"/>
  <c r="H6" i="1"/>
  <c r="G6" i="1"/>
  <c r="C6" i="1"/>
  <c r="B6" i="1"/>
  <c r="P5" i="1"/>
  <c r="O5" i="1"/>
  <c r="N5" i="1"/>
  <c r="L5" i="1"/>
  <c r="K5" i="1"/>
  <c r="J5" i="1"/>
  <c r="H5" i="1"/>
  <c r="G5" i="1"/>
  <c r="C5" i="1"/>
  <c r="B5" i="1"/>
  <c r="P4" i="1"/>
  <c r="O4" i="1"/>
  <c r="N4" i="1"/>
  <c r="L4" i="1"/>
  <c r="K4" i="1"/>
  <c r="J4" i="1"/>
  <c r="H4" i="1"/>
  <c r="G4" i="1"/>
  <c r="C4" i="1"/>
  <c r="B4" i="1"/>
  <c r="P3" i="1"/>
  <c r="O3" i="1"/>
  <c r="N3" i="1"/>
  <c r="L3" i="1"/>
  <c r="K3" i="1"/>
  <c r="J3" i="1"/>
  <c r="H3" i="1"/>
  <c r="G3" i="1"/>
  <c r="C3" i="1"/>
  <c r="B3" i="1"/>
  <c r="P2" i="1"/>
  <c r="O2" i="1"/>
  <c r="N2" i="1"/>
  <c r="L2" i="1"/>
  <c r="K2" i="1"/>
  <c r="J2" i="1"/>
  <c r="H2" i="1"/>
  <c r="G2" i="1"/>
  <c r="C2" i="1"/>
  <c r="F33" i="2"/>
  <c r="Q33" i="2"/>
  <c r="S33" i="2"/>
  <c r="AD30" i="2"/>
  <c r="AD31" i="2" s="1"/>
  <c r="AD32" i="2" s="1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B2" i="1"/>
  <c r="AL32" i="2"/>
  <c r="AL33" i="2" s="1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AG33" i="2"/>
  <c r="AH43" i="2"/>
  <c r="AH44" i="2" s="1"/>
  <c r="AH45" i="2" s="1"/>
  <c r="AH46" i="2" s="1"/>
  <c r="AH47" i="2" s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" i="2"/>
  <c r="R43" i="2"/>
  <c r="R44" i="2" s="1"/>
  <c r="R45" i="2" s="1"/>
  <c r="R46" i="2" s="1"/>
  <c r="R47" i="2" s="1"/>
  <c r="Q34" i="2"/>
  <c r="Q35" i="2" s="1"/>
  <c r="Q36" i="2" s="1"/>
  <c r="Q37" i="2" s="1"/>
  <c r="Q38" i="2" s="1"/>
  <c r="Q39" i="2" s="1"/>
  <c r="Q40" i="2" s="1"/>
  <c r="Q41" i="2" s="1"/>
  <c r="Q42" i="2" s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" i="2"/>
  <c r="B33" i="2"/>
  <c r="B34" i="2" s="1"/>
  <c r="C3" i="2"/>
  <c r="C4" i="2"/>
  <c r="C5" i="2"/>
  <c r="C6" i="2"/>
  <c r="C7" i="2"/>
  <c r="D7" i="2" s="1"/>
  <c r="C8" i="2"/>
  <c r="C9" i="2"/>
  <c r="C10" i="2"/>
  <c r="D10" i="2" s="1"/>
  <c r="C11" i="2"/>
  <c r="C12" i="2"/>
  <c r="C13" i="2"/>
  <c r="C14" i="2"/>
  <c r="C15" i="2"/>
  <c r="D15" i="2" s="1"/>
  <c r="C16" i="2"/>
  <c r="C17" i="2"/>
  <c r="C18" i="2"/>
  <c r="C19" i="2"/>
  <c r="C20" i="2"/>
  <c r="C21" i="2"/>
  <c r="C22" i="2"/>
  <c r="D22" i="2" s="1"/>
  <c r="C23" i="2"/>
  <c r="C24" i="2"/>
  <c r="C25" i="2"/>
  <c r="C26" i="2"/>
  <c r="D26" i="2" s="1"/>
  <c r="C27" i="2"/>
  <c r="C28" i="2"/>
  <c r="C29" i="2"/>
  <c r="C30" i="2"/>
  <c r="C31" i="2"/>
  <c r="D31" i="2" s="1"/>
  <c r="C32" i="2"/>
  <c r="C2" i="2"/>
  <c r="AD39" i="2" l="1"/>
  <c r="AD40" i="2"/>
  <c r="AD41" i="2"/>
  <c r="Q8" i="1"/>
  <c r="Q7" i="1"/>
  <c r="Q6" i="1"/>
  <c r="Q5" i="1"/>
  <c r="Q4" i="1"/>
  <c r="Q3" i="1"/>
  <c r="Q2" i="1"/>
  <c r="F34" i="2"/>
  <c r="C34" i="1" s="1"/>
  <c r="S34" i="2"/>
  <c r="H34" i="1" s="1"/>
  <c r="D27" i="2"/>
  <c r="G42" i="1"/>
  <c r="G34" i="1"/>
  <c r="Q33" i="1"/>
  <c r="G33" i="1"/>
  <c r="N32" i="1"/>
  <c r="Q30" i="1"/>
  <c r="N30" i="1"/>
  <c r="Q24" i="1"/>
  <c r="N20" i="1"/>
  <c r="Q18" i="1"/>
  <c r="N17" i="1"/>
  <c r="N16" i="1"/>
  <c r="G40" i="1"/>
  <c r="H33" i="1"/>
  <c r="C33" i="1"/>
  <c r="N31" i="1"/>
  <c r="Q29" i="1"/>
  <c r="Q28" i="1"/>
  <c r="N27" i="1"/>
  <c r="N26" i="1"/>
  <c r="N23" i="1"/>
  <c r="Q22" i="1"/>
  <c r="Q21" i="1"/>
  <c r="Q17" i="1"/>
  <c r="Q15" i="1"/>
  <c r="N14" i="1"/>
  <c r="N13" i="1"/>
  <c r="Q11" i="1"/>
  <c r="G39" i="1"/>
  <c r="G35" i="1"/>
  <c r="Q32" i="1"/>
  <c r="Q31" i="1"/>
  <c r="N29" i="1"/>
  <c r="N25" i="1"/>
  <c r="Q23" i="1"/>
  <c r="N21" i="1"/>
  <c r="Q19" i="1"/>
  <c r="N18" i="1"/>
  <c r="N15" i="1"/>
  <c r="Q13" i="1"/>
  <c r="Q9" i="1"/>
  <c r="G38" i="1"/>
  <c r="G37" i="1"/>
  <c r="G36" i="1"/>
  <c r="B34" i="1"/>
  <c r="O33" i="1"/>
  <c r="B33" i="1"/>
  <c r="Q12" i="1"/>
  <c r="Q10" i="1"/>
  <c r="G41" i="1"/>
  <c r="Q27" i="1"/>
  <c r="Q26" i="1"/>
  <c r="Q25" i="1"/>
  <c r="N24" i="1"/>
  <c r="N22" i="1"/>
  <c r="Q20" i="1"/>
  <c r="N19" i="1"/>
  <c r="Q16" i="1"/>
  <c r="Q14" i="1"/>
  <c r="F35" i="2"/>
  <c r="C35" i="1" s="1"/>
  <c r="S35" i="2"/>
  <c r="D14" i="2"/>
  <c r="D32" i="2"/>
  <c r="D20" i="2"/>
  <c r="D8" i="2"/>
  <c r="AG34" i="2"/>
  <c r="O34" i="1" s="1"/>
  <c r="D30" i="2"/>
  <c r="D18" i="2"/>
  <c r="D6" i="2"/>
  <c r="Q43" i="2"/>
  <c r="AL34" i="2"/>
  <c r="Q34" i="1" s="1"/>
  <c r="D21" i="2"/>
  <c r="D9" i="2"/>
  <c r="D19" i="2"/>
  <c r="D25" i="2"/>
  <c r="D13" i="2"/>
  <c r="D23" i="2"/>
  <c r="D11" i="2"/>
  <c r="D3" i="2"/>
  <c r="D24" i="2"/>
  <c r="D12" i="2"/>
  <c r="D28" i="2"/>
  <c r="D17" i="2"/>
  <c r="D4" i="2"/>
  <c r="D29" i="2"/>
  <c r="D5" i="2"/>
  <c r="D16" i="2"/>
  <c r="B35" i="2"/>
  <c r="B35" i="1" s="1"/>
  <c r="C34" i="2"/>
  <c r="C33" i="2"/>
  <c r="D33" i="2" s="1"/>
  <c r="AD42" i="2" l="1"/>
  <c r="N36" i="1"/>
  <c r="N38" i="1"/>
  <c r="N37" i="1"/>
  <c r="S36" i="2"/>
  <c r="H35" i="1"/>
  <c r="Q44" i="2"/>
  <c r="G44" i="1" s="1"/>
  <c r="G43" i="1"/>
  <c r="F36" i="2"/>
  <c r="C36" i="1" s="1"/>
  <c r="AG35" i="2"/>
  <c r="O35" i="1" s="1"/>
  <c r="Q45" i="2"/>
  <c r="AL35" i="2"/>
  <c r="Q35" i="1" s="1"/>
  <c r="D34" i="2"/>
  <c r="B36" i="2"/>
  <c r="B36" i="1" s="1"/>
  <c r="C35" i="2"/>
  <c r="D35" i="2" s="1"/>
  <c r="AD43" i="2" l="1"/>
  <c r="AD44" i="2" s="1"/>
  <c r="N40" i="1"/>
  <c r="H36" i="1"/>
  <c r="S37" i="2"/>
  <c r="Q46" i="2"/>
  <c r="G46" i="1" s="1"/>
  <c r="G45" i="1"/>
  <c r="F37" i="2"/>
  <c r="C37" i="1" s="1"/>
  <c r="AG36" i="2"/>
  <c r="O36" i="1" s="1"/>
  <c r="AL36" i="2"/>
  <c r="Q36" i="1" s="1"/>
  <c r="Q47" i="2"/>
  <c r="G47" i="1" s="1"/>
  <c r="B37" i="2"/>
  <c r="B37" i="1" s="1"/>
  <c r="C36" i="2"/>
  <c r="D36" i="2" s="1"/>
  <c r="AD45" i="2" l="1"/>
  <c r="N39" i="1"/>
  <c r="N42" i="1"/>
  <c r="N41" i="1"/>
  <c r="H37" i="1"/>
  <c r="S38" i="2"/>
  <c r="F38" i="2"/>
  <c r="C38" i="1" s="1"/>
  <c r="AG37" i="2"/>
  <c r="O37" i="1" s="1"/>
  <c r="AL37" i="2"/>
  <c r="Q37" i="1" s="1"/>
  <c r="B38" i="2"/>
  <c r="B38" i="1" s="1"/>
  <c r="C37" i="2"/>
  <c r="D37" i="2" s="1"/>
  <c r="AD46" i="2" l="1"/>
  <c r="H38" i="1"/>
  <c r="S39" i="2"/>
  <c r="F39" i="2"/>
  <c r="C39" i="1" s="1"/>
  <c r="AG38" i="2"/>
  <c r="O38" i="1" s="1"/>
  <c r="AL38" i="2"/>
  <c r="Q38" i="1" s="1"/>
  <c r="B39" i="2"/>
  <c r="C38" i="2"/>
  <c r="D38" i="2" s="1"/>
  <c r="AD47" i="2" l="1"/>
  <c r="N43" i="1"/>
  <c r="N44" i="1"/>
  <c r="H39" i="1"/>
  <c r="S40" i="2"/>
  <c r="AG39" i="2"/>
  <c r="O39" i="1" s="1"/>
  <c r="B40" i="2"/>
  <c r="B40" i="1" s="1"/>
  <c r="B39" i="1"/>
  <c r="F40" i="2"/>
  <c r="C40" i="1" s="1"/>
  <c r="AL39" i="2"/>
  <c r="Q39" i="1" s="1"/>
  <c r="C39" i="2"/>
  <c r="D39" i="2" s="1"/>
  <c r="N45" i="1" l="1"/>
  <c r="H40" i="1"/>
  <c r="S41" i="2"/>
  <c r="AG40" i="2"/>
  <c r="O40" i="1" s="1"/>
  <c r="F41" i="2"/>
  <c r="C41" i="1" s="1"/>
  <c r="AL40" i="2"/>
  <c r="Q40" i="1" s="1"/>
  <c r="B41" i="2"/>
  <c r="B41" i="1" s="1"/>
  <c r="C40" i="2"/>
  <c r="D40" i="2" s="1"/>
  <c r="N46" i="1" l="1"/>
  <c r="H41" i="1"/>
  <c r="S42" i="2"/>
  <c r="AG41" i="2"/>
  <c r="O41" i="1" s="1"/>
  <c r="F42" i="2"/>
  <c r="C42" i="1" s="1"/>
  <c r="AL41" i="2"/>
  <c r="Q41" i="1" s="1"/>
  <c r="B42" i="2"/>
  <c r="C41" i="2"/>
  <c r="D41" i="2" s="1"/>
  <c r="N47" i="1" l="1"/>
  <c r="H42" i="1"/>
  <c r="S43" i="2"/>
  <c r="AG42" i="2"/>
  <c r="O42" i="1" s="1"/>
  <c r="B42" i="1"/>
  <c r="AL42" i="2"/>
  <c r="Q42" i="1" s="1"/>
  <c r="AG43" i="2"/>
  <c r="O43" i="1" s="1"/>
  <c r="C42" i="2"/>
  <c r="D42" i="2" s="1"/>
  <c r="D43" i="2" s="1"/>
  <c r="D44" i="2" s="1"/>
  <c r="D45" i="2" s="1"/>
  <c r="D46" i="2" s="1"/>
  <c r="D47" i="2" s="1"/>
  <c r="P32" i="2"/>
  <c r="O3" i="2"/>
  <c r="F3" i="1" s="1"/>
  <c r="O4" i="2"/>
  <c r="F4" i="1" s="1"/>
  <c r="O5" i="2"/>
  <c r="F5" i="1" s="1"/>
  <c r="O6" i="2"/>
  <c r="F6" i="1" s="1"/>
  <c r="O7" i="2"/>
  <c r="F7" i="1" s="1"/>
  <c r="O8" i="2"/>
  <c r="F8" i="1" s="1"/>
  <c r="O9" i="2"/>
  <c r="F9" i="1" s="1"/>
  <c r="O10" i="2"/>
  <c r="F10" i="1" s="1"/>
  <c r="O11" i="2"/>
  <c r="F11" i="1" s="1"/>
  <c r="O12" i="2"/>
  <c r="F12" i="1" s="1"/>
  <c r="O13" i="2"/>
  <c r="F13" i="1" s="1"/>
  <c r="O14" i="2"/>
  <c r="F14" i="1" s="1"/>
  <c r="O15" i="2"/>
  <c r="F15" i="1" s="1"/>
  <c r="O16" i="2"/>
  <c r="F16" i="1" s="1"/>
  <c r="O17" i="2"/>
  <c r="F17" i="1" s="1"/>
  <c r="O18" i="2"/>
  <c r="F18" i="1" s="1"/>
  <c r="O19" i="2"/>
  <c r="F19" i="1" s="1"/>
  <c r="O20" i="2"/>
  <c r="F20" i="1" s="1"/>
  <c r="O21" i="2"/>
  <c r="F21" i="1" s="1"/>
  <c r="O22" i="2"/>
  <c r="F22" i="1" s="1"/>
  <c r="O23" i="2"/>
  <c r="F23" i="1" s="1"/>
  <c r="O24" i="2"/>
  <c r="F24" i="1" s="1"/>
  <c r="O25" i="2"/>
  <c r="F25" i="1" s="1"/>
  <c r="O26" i="2"/>
  <c r="F26" i="1" s="1"/>
  <c r="O27" i="2"/>
  <c r="F27" i="1" s="1"/>
  <c r="O28" i="2"/>
  <c r="F28" i="1" s="1"/>
  <c r="O29" i="2"/>
  <c r="F29" i="1" s="1"/>
  <c r="O30" i="2"/>
  <c r="F30" i="1" s="1"/>
  <c r="O31" i="2"/>
  <c r="F31" i="1" s="1"/>
  <c r="O2" i="2"/>
  <c r="F2" i="1" s="1"/>
  <c r="K2" i="2"/>
  <c r="E2" i="1" s="1"/>
  <c r="K32" i="2"/>
  <c r="E32" i="1" s="1"/>
  <c r="K31" i="2"/>
  <c r="E31" i="1" s="1"/>
  <c r="K30" i="2"/>
  <c r="E30" i="1" s="1"/>
  <c r="K29" i="2"/>
  <c r="E29" i="1" s="1"/>
  <c r="K28" i="2"/>
  <c r="E28" i="1" s="1"/>
  <c r="K27" i="2"/>
  <c r="E27" i="1" s="1"/>
  <c r="K26" i="2"/>
  <c r="E26" i="1" s="1"/>
  <c r="K25" i="2"/>
  <c r="E25" i="1" s="1"/>
  <c r="K24" i="2"/>
  <c r="E24" i="1" s="1"/>
  <c r="K23" i="2"/>
  <c r="E23" i="1" s="1"/>
  <c r="K22" i="2"/>
  <c r="E22" i="1" s="1"/>
  <c r="K21" i="2"/>
  <c r="E21" i="1" s="1"/>
  <c r="K20" i="2"/>
  <c r="E20" i="1" s="1"/>
  <c r="K19" i="2"/>
  <c r="E19" i="1" s="1"/>
  <c r="K18" i="2"/>
  <c r="E18" i="1" s="1"/>
  <c r="K17" i="2"/>
  <c r="E17" i="1" s="1"/>
  <c r="K16" i="2"/>
  <c r="E16" i="1" s="1"/>
  <c r="K15" i="2"/>
  <c r="E15" i="1" s="1"/>
  <c r="K14" i="2"/>
  <c r="E14" i="1" s="1"/>
  <c r="K13" i="2"/>
  <c r="E13" i="1" s="1"/>
  <c r="K12" i="2"/>
  <c r="E12" i="1" s="1"/>
  <c r="K11" i="2"/>
  <c r="E11" i="1" s="1"/>
  <c r="K10" i="2"/>
  <c r="E10" i="1" s="1"/>
  <c r="K9" i="2"/>
  <c r="E9" i="1" s="1"/>
  <c r="K8" i="2"/>
  <c r="E8" i="1" s="1"/>
  <c r="K7" i="2"/>
  <c r="E7" i="1" s="1"/>
  <c r="K6" i="2"/>
  <c r="E6" i="1" s="1"/>
  <c r="K5" i="2"/>
  <c r="E5" i="1" s="1"/>
  <c r="K4" i="2"/>
  <c r="E4" i="1" s="1"/>
  <c r="K3" i="2"/>
  <c r="E3" i="1" s="1"/>
  <c r="G3" i="2"/>
  <c r="D3" i="1" s="1"/>
  <c r="G4" i="2"/>
  <c r="D4" i="1" s="1"/>
  <c r="G5" i="2"/>
  <c r="D5" i="1" s="1"/>
  <c r="G6" i="2"/>
  <c r="D6" i="1" s="1"/>
  <c r="G7" i="2"/>
  <c r="D7" i="1" s="1"/>
  <c r="G8" i="2"/>
  <c r="D8" i="1" s="1"/>
  <c r="G9" i="2"/>
  <c r="D9" i="1" s="1"/>
  <c r="G10" i="2"/>
  <c r="D10" i="1" s="1"/>
  <c r="G11" i="2"/>
  <c r="D11" i="1" s="1"/>
  <c r="G12" i="2"/>
  <c r="D12" i="1" s="1"/>
  <c r="G13" i="2"/>
  <c r="D13" i="1" s="1"/>
  <c r="G14" i="2"/>
  <c r="D14" i="1" s="1"/>
  <c r="G15" i="2"/>
  <c r="D15" i="1" s="1"/>
  <c r="G16" i="2"/>
  <c r="D16" i="1" s="1"/>
  <c r="G17" i="2"/>
  <c r="D17" i="1" s="1"/>
  <c r="G18" i="2"/>
  <c r="D18" i="1" s="1"/>
  <c r="G19" i="2"/>
  <c r="D19" i="1" s="1"/>
  <c r="G20" i="2"/>
  <c r="D20" i="1" s="1"/>
  <c r="G21" i="2"/>
  <c r="D21" i="1" s="1"/>
  <c r="G22" i="2"/>
  <c r="D22" i="1" s="1"/>
  <c r="G23" i="2"/>
  <c r="D23" i="1" s="1"/>
  <c r="G24" i="2"/>
  <c r="D24" i="1" s="1"/>
  <c r="G25" i="2"/>
  <c r="D25" i="1" s="1"/>
  <c r="G26" i="2"/>
  <c r="D26" i="1" s="1"/>
  <c r="G27" i="2"/>
  <c r="D27" i="1" s="1"/>
  <c r="G28" i="2"/>
  <c r="D28" i="1" s="1"/>
  <c r="G29" i="2"/>
  <c r="D29" i="1" s="1"/>
  <c r="G30" i="2"/>
  <c r="D30" i="1" s="1"/>
  <c r="G31" i="2"/>
  <c r="D31" i="1" s="1"/>
  <c r="G32" i="2"/>
  <c r="G2" i="2"/>
  <c r="D2" i="1" s="1"/>
  <c r="T2" i="2"/>
  <c r="I2" i="1" s="1"/>
  <c r="T3" i="2"/>
  <c r="I3" i="1" s="1"/>
  <c r="T4" i="2"/>
  <c r="I4" i="1" s="1"/>
  <c r="T5" i="2"/>
  <c r="I5" i="1" s="1"/>
  <c r="T6" i="2"/>
  <c r="I6" i="1" s="1"/>
  <c r="T7" i="2"/>
  <c r="I7" i="1" s="1"/>
  <c r="T8" i="2"/>
  <c r="I8" i="1" s="1"/>
  <c r="T9" i="2"/>
  <c r="I9" i="1" s="1"/>
  <c r="T10" i="2"/>
  <c r="I10" i="1" s="1"/>
  <c r="T11" i="2"/>
  <c r="I11" i="1" s="1"/>
  <c r="T12" i="2"/>
  <c r="I12" i="1" s="1"/>
  <c r="T13" i="2"/>
  <c r="I13" i="1" s="1"/>
  <c r="T14" i="2"/>
  <c r="I14" i="1" s="1"/>
  <c r="T15" i="2"/>
  <c r="I15" i="1" s="1"/>
  <c r="T16" i="2"/>
  <c r="I16" i="1" s="1"/>
  <c r="T17" i="2"/>
  <c r="I17" i="1" s="1"/>
  <c r="T18" i="2"/>
  <c r="I18" i="1" s="1"/>
  <c r="T19" i="2"/>
  <c r="I19" i="1" s="1"/>
  <c r="T20" i="2"/>
  <c r="I20" i="1" s="1"/>
  <c r="T21" i="2"/>
  <c r="I21" i="1" s="1"/>
  <c r="T22" i="2"/>
  <c r="I22" i="1" s="1"/>
  <c r="T23" i="2"/>
  <c r="I23" i="1" s="1"/>
  <c r="T24" i="2"/>
  <c r="I24" i="1" s="1"/>
  <c r="T25" i="2"/>
  <c r="I25" i="1" s="1"/>
  <c r="T26" i="2"/>
  <c r="I26" i="1" s="1"/>
  <c r="T27" i="2"/>
  <c r="I27" i="1" s="1"/>
  <c r="T28" i="2"/>
  <c r="I28" i="1" s="1"/>
  <c r="T29" i="2"/>
  <c r="I29" i="1" s="1"/>
  <c r="T30" i="2"/>
  <c r="I30" i="1" s="1"/>
  <c r="T31" i="2"/>
  <c r="I31" i="1" s="1"/>
  <c r="AA3" i="2"/>
  <c r="Z3" i="2" s="1"/>
  <c r="M3" i="1" s="1"/>
  <c r="AA4" i="2"/>
  <c r="Z4" i="2" s="1"/>
  <c r="M4" i="1" s="1"/>
  <c r="AA5" i="2"/>
  <c r="Z5" i="2" s="1"/>
  <c r="M5" i="1" s="1"/>
  <c r="AA6" i="2"/>
  <c r="Z6" i="2" s="1"/>
  <c r="M6" i="1" s="1"/>
  <c r="AA7" i="2"/>
  <c r="Z7" i="2" s="1"/>
  <c r="M7" i="1" s="1"/>
  <c r="AA8" i="2"/>
  <c r="Z8" i="2" s="1"/>
  <c r="M8" i="1" s="1"/>
  <c r="AA9" i="2"/>
  <c r="Z9" i="2" s="1"/>
  <c r="M9" i="1" s="1"/>
  <c r="AA10" i="2"/>
  <c r="Z10" i="2" s="1"/>
  <c r="M10" i="1" s="1"/>
  <c r="AA11" i="2"/>
  <c r="Z11" i="2" s="1"/>
  <c r="M11" i="1" s="1"/>
  <c r="AA12" i="2"/>
  <c r="Z12" i="2" s="1"/>
  <c r="M12" i="1" s="1"/>
  <c r="AA13" i="2"/>
  <c r="Z13" i="2" s="1"/>
  <c r="M13" i="1" s="1"/>
  <c r="AA14" i="2"/>
  <c r="Z14" i="2" s="1"/>
  <c r="M14" i="1" s="1"/>
  <c r="AA15" i="2"/>
  <c r="Z15" i="2" s="1"/>
  <c r="M15" i="1" s="1"/>
  <c r="AA16" i="2"/>
  <c r="Z16" i="2" s="1"/>
  <c r="M16" i="1" s="1"/>
  <c r="AA17" i="2"/>
  <c r="Z17" i="2" s="1"/>
  <c r="M17" i="1" s="1"/>
  <c r="AA18" i="2"/>
  <c r="Z18" i="2" s="1"/>
  <c r="M18" i="1" s="1"/>
  <c r="AA19" i="2"/>
  <c r="Z19" i="2" s="1"/>
  <c r="M19" i="1" s="1"/>
  <c r="AA20" i="2"/>
  <c r="Z20" i="2" s="1"/>
  <c r="M20" i="1" s="1"/>
  <c r="AA21" i="2"/>
  <c r="Z21" i="2" s="1"/>
  <c r="M21" i="1" s="1"/>
  <c r="AA22" i="2"/>
  <c r="Z22" i="2" s="1"/>
  <c r="M22" i="1" s="1"/>
  <c r="AA23" i="2"/>
  <c r="Z23" i="2" s="1"/>
  <c r="M23" i="1" s="1"/>
  <c r="AA24" i="2"/>
  <c r="Z24" i="2" s="1"/>
  <c r="M24" i="1" s="1"/>
  <c r="AA25" i="2"/>
  <c r="Z25" i="2" s="1"/>
  <c r="M25" i="1" s="1"/>
  <c r="AA26" i="2"/>
  <c r="Z26" i="2" s="1"/>
  <c r="M26" i="1" s="1"/>
  <c r="AA27" i="2"/>
  <c r="Z27" i="2" s="1"/>
  <c r="M27" i="1" s="1"/>
  <c r="AA28" i="2"/>
  <c r="Z28" i="2" s="1"/>
  <c r="M28" i="1" s="1"/>
  <c r="AA29" i="2"/>
  <c r="Z29" i="2" s="1"/>
  <c r="M29" i="1" s="1"/>
  <c r="AA30" i="2"/>
  <c r="Z30" i="2" s="1"/>
  <c r="M30" i="1" s="1"/>
  <c r="AA2" i="2"/>
  <c r="Z2" i="2" s="1"/>
  <c r="M2" i="1" s="1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I47" i="1" s="1"/>
  <c r="T46" i="2"/>
  <c r="I46" i="1" s="1"/>
  <c r="T45" i="2"/>
  <c r="I45" i="1" s="1"/>
  <c r="T44" i="2"/>
  <c r="I44" i="1" s="1"/>
  <c r="T43" i="2"/>
  <c r="I43" i="1" s="1"/>
  <c r="T42" i="2"/>
  <c r="I42" i="1" s="1"/>
  <c r="T41" i="2"/>
  <c r="I41" i="1" s="1"/>
  <c r="T40" i="2"/>
  <c r="I40" i="1" s="1"/>
  <c r="T39" i="2"/>
  <c r="I39" i="1" s="1"/>
  <c r="T38" i="2"/>
  <c r="I38" i="1" s="1"/>
  <c r="T37" i="2"/>
  <c r="I37" i="1" s="1"/>
  <c r="T36" i="2"/>
  <c r="I36" i="1" s="1"/>
  <c r="T35" i="2"/>
  <c r="I35" i="1" s="1"/>
  <c r="T34" i="2"/>
  <c r="I34" i="1" s="1"/>
  <c r="T33" i="2"/>
  <c r="I33" i="1" s="1"/>
  <c r="T32" i="2"/>
  <c r="I32" i="1" s="1"/>
  <c r="H43" i="1" l="1"/>
  <c r="S44" i="2"/>
  <c r="B43" i="2"/>
  <c r="G33" i="2"/>
  <c r="D32" i="1"/>
  <c r="O32" i="2"/>
  <c r="F32" i="1" s="1"/>
  <c r="AL43" i="2"/>
  <c r="Q43" i="1" s="1"/>
  <c r="AG44" i="2"/>
  <c r="O44" i="1" s="1"/>
  <c r="AA31" i="2"/>
  <c r="Z31" i="2" s="1"/>
  <c r="M31" i="1" s="1"/>
  <c r="H44" i="1" l="1"/>
  <c r="S45" i="2"/>
  <c r="B43" i="1"/>
  <c r="E43" i="2"/>
  <c r="F43" i="2" s="1"/>
  <c r="G34" i="2"/>
  <c r="D33" i="1"/>
  <c r="AL44" i="2"/>
  <c r="Q44" i="1" s="1"/>
  <c r="AG45" i="2"/>
  <c r="O45" i="1" s="1"/>
  <c r="B44" i="2"/>
  <c r="AA32" i="2"/>
  <c r="Z32" i="2" s="1"/>
  <c r="M32" i="1" s="1"/>
  <c r="H45" i="1" l="1"/>
  <c r="S46" i="2"/>
  <c r="F44" i="2"/>
  <c r="C43" i="1"/>
  <c r="G35" i="2"/>
  <c r="D34" i="1"/>
  <c r="E44" i="2"/>
  <c r="B44" i="1"/>
  <c r="AL45" i="2"/>
  <c r="Q45" i="1" s="1"/>
  <c r="AG46" i="2"/>
  <c r="O46" i="1" s="1"/>
  <c r="B45" i="2"/>
  <c r="H46" i="1" l="1"/>
  <c r="S47" i="2"/>
  <c r="H47" i="1" s="1"/>
  <c r="C44" i="1"/>
  <c r="G36" i="2"/>
  <c r="D35" i="1"/>
  <c r="E45" i="2"/>
  <c r="B45" i="1"/>
  <c r="AL46" i="2"/>
  <c r="Q46" i="1" s="1"/>
  <c r="AG47" i="2"/>
  <c r="O47" i="1" s="1"/>
  <c r="B46" i="2"/>
  <c r="G37" i="2" l="1"/>
  <c r="D36" i="1"/>
  <c r="F45" i="2"/>
  <c r="E46" i="2"/>
  <c r="B46" i="1"/>
  <c r="AL47" i="2"/>
  <c r="Q47" i="1" s="1"/>
  <c r="B47" i="2"/>
  <c r="G38" i="2" l="1"/>
  <c r="D37" i="1"/>
  <c r="C45" i="1"/>
  <c r="F46" i="2"/>
  <c r="E47" i="2"/>
  <c r="B47" i="1"/>
  <c r="G39" i="2" l="1"/>
  <c r="D38" i="1"/>
  <c r="F47" i="2"/>
  <c r="C47" i="1" s="1"/>
  <c r="C46" i="1"/>
  <c r="G40" i="2" l="1"/>
  <c r="D39" i="1"/>
  <c r="G41" i="2" l="1"/>
  <c r="D40" i="1"/>
  <c r="G42" i="2" l="1"/>
  <c r="D41" i="1"/>
  <c r="G43" i="2" l="1"/>
  <c r="D42" i="1"/>
  <c r="G44" i="2" l="1"/>
  <c r="D43" i="1"/>
  <c r="G45" i="2" l="1"/>
  <c r="D44" i="1"/>
  <c r="G46" i="2" l="1"/>
  <c r="D45" i="1"/>
  <c r="G47" i="2" l="1"/>
  <c r="D47" i="1" s="1"/>
  <c r="D46" i="1"/>
</calcChain>
</file>

<file path=xl/sharedStrings.xml><?xml version="1.0" encoding="utf-8"?>
<sst xmlns="http://schemas.openxmlformats.org/spreadsheetml/2006/main" count="56" uniqueCount="39">
  <si>
    <t>Y</t>
    <phoneticPr fontId="1"/>
  </si>
  <si>
    <t>C</t>
    <phoneticPr fontId="1"/>
  </si>
  <si>
    <t>I</t>
    <phoneticPr fontId="1"/>
  </si>
  <si>
    <t>G</t>
    <phoneticPr fontId="1"/>
  </si>
  <si>
    <t>T</t>
    <phoneticPr fontId="1"/>
  </si>
  <si>
    <t>POP</t>
    <phoneticPr fontId="1"/>
  </si>
  <si>
    <t>LS</t>
    <phoneticPr fontId="1"/>
  </si>
  <si>
    <t>E</t>
    <phoneticPr fontId="1"/>
  </si>
  <si>
    <t>U</t>
    <phoneticPr fontId="1"/>
  </si>
  <si>
    <t>W</t>
    <phoneticPr fontId="1"/>
  </si>
  <si>
    <t>P</t>
    <phoneticPr fontId="1"/>
  </si>
  <si>
    <t>r</t>
    <phoneticPr fontId="1"/>
  </si>
  <si>
    <t>総人口</t>
    <rPh sb="0" eb="3">
      <t>ソウジンコウ</t>
    </rPh>
    <phoneticPr fontId="1"/>
  </si>
  <si>
    <t>～14歳</t>
    <rPh sb="3" eb="4">
      <t>サイ</t>
    </rPh>
    <phoneticPr fontId="1"/>
  </si>
  <si>
    <t>I_fac</t>
    <phoneticPr fontId="1"/>
  </si>
  <si>
    <t>I_hus</t>
    <phoneticPr fontId="1"/>
  </si>
  <si>
    <t>I_inv</t>
    <phoneticPr fontId="1"/>
  </si>
  <si>
    <t>G_c</t>
    <phoneticPr fontId="1"/>
  </si>
  <si>
    <t>G_k</t>
    <phoneticPr fontId="1"/>
  </si>
  <si>
    <t>G_inv</t>
    <phoneticPr fontId="1"/>
  </si>
  <si>
    <t>可処分所得</t>
    <rPh sb="0" eb="3">
      <t>カショブン</t>
    </rPh>
    <rPh sb="3" eb="5">
      <t>ショトク</t>
    </rPh>
    <phoneticPr fontId="1"/>
  </si>
  <si>
    <t>Y_prj</t>
    <phoneticPr fontId="1"/>
  </si>
  <si>
    <t>D_GDP</t>
    <phoneticPr fontId="1"/>
  </si>
  <si>
    <t>Y/総人口</t>
    <rPh sb="2" eb="5">
      <t>ソウジンコウ</t>
    </rPh>
    <phoneticPr fontId="1"/>
  </si>
  <si>
    <t>ΔY/総人口</t>
    <rPh sb="3" eb="6">
      <t>ソウジンコウ</t>
    </rPh>
    <phoneticPr fontId="1"/>
  </si>
  <si>
    <t>D_GDP（増減率）</t>
    <rPh sb="6" eb="9">
      <t>ゾウゲンリツ</t>
    </rPh>
    <phoneticPr fontId="1"/>
  </si>
  <si>
    <t>year</t>
    <phoneticPr fontId="1"/>
  </si>
  <si>
    <t>P（増減率）</t>
    <rPh sb="2" eb="5">
      <t>ゾウゲンリツ</t>
    </rPh>
    <phoneticPr fontId="1"/>
  </si>
  <si>
    <t>EXP_外貨建</t>
    <rPh sb="4" eb="7">
      <t>ガイカダテ</t>
    </rPh>
    <phoneticPr fontId="1"/>
  </si>
  <si>
    <t>IMP_円建</t>
    <rPh sb="4" eb="6">
      <t>エンダ</t>
    </rPh>
    <phoneticPr fontId="1"/>
  </si>
  <si>
    <t>TT</t>
    <phoneticPr fontId="1"/>
  </si>
  <si>
    <t>WM</t>
    <phoneticPr fontId="1"/>
  </si>
  <si>
    <t>WM_org</t>
    <phoneticPr fontId="1"/>
  </si>
  <si>
    <t>WM_inc</t>
    <phoneticPr fontId="1"/>
  </si>
  <si>
    <t>H</t>
    <phoneticPr fontId="1"/>
  </si>
  <si>
    <t>H_org</t>
    <phoneticPr fontId="1"/>
  </si>
  <si>
    <t>H_inc</t>
    <phoneticPr fontId="1"/>
  </si>
  <si>
    <t>D_C</t>
    <phoneticPr fontId="1"/>
  </si>
  <si>
    <t>Trend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</si>
</sst>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#,##0.0"/>
    <numFmt numFmtId="178" formatCode="0.000"/>
    <numFmt numFmtId="179" formatCode="\(0.0\);\(\▲0.0\)"/>
    <numFmt numFmtId="180" formatCode="#,##0.000"/>
  </numFmts>
  <fonts count="3" x14ac:knownFonts="1"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3" fontId="0" fillId="5" borderId="1" xfId="0" applyNumberFormat="1" applyFill="1" applyBorder="1">
      <alignment vertical="center"/>
    </xf>
    <xf numFmtId="0" fontId="0" fillId="5" borderId="0" xfId="0" applyFill="1">
      <alignment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176" fontId="0" fillId="5" borderId="0" xfId="0" applyNumberFormat="1" applyFill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3" fontId="0" fillId="3" borderId="0" xfId="0" applyNumberFormat="1" applyFill="1">
      <alignment vertical="center"/>
    </xf>
    <xf numFmtId="177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5" borderId="0" xfId="0" applyNumberFormat="1" applyFill="1">
      <alignment vertical="center"/>
    </xf>
    <xf numFmtId="178" fontId="0" fillId="4" borderId="0" xfId="0" applyNumberFormat="1" applyFill="1">
      <alignment vertical="center"/>
    </xf>
    <xf numFmtId="178" fontId="0" fillId="0" borderId="0" xfId="0" applyNumberFormat="1">
      <alignment vertical="center"/>
    </xf>
    <xf numFmtId="177" fontId="0" fillId="0" borderId="2" xfId="0" applyNumberFormat="1" applyBorder="1">
      <alignment vertical="center"/>
    </xf>
    <xf numFmtId="180" fontId="0" fillId="0" borderId="0" xfId="0" applyNumberFormat="1">
      <alignment vertical="center"/>
    </xf>
    <xf numFmtId="180" fontId="0" fillId="0" borderId="2" xfId="0" applyNumberFormat="1" applyBorder="1">
      <alignment vertical="center"/>
    </xf>
    <xf numFmtId="180" fontId="0" fillId="5" borderId="0" xfId="0" applyNumberFormat="1" applyFill="1">
      <alignment vertical="center"/>
    </xf>
    <xf numFmtId="176" fontId="0" fillId="5" borderId="2" xfId="0" applyNumberFormat="1" applyFill="1" applyBorder="1">
      <alignment vertical="center"/>
    </xf>
    <xf numFmtId="179" fontId="2" fillId="0" borderId="3" xfId="1" applyNumberFormat="1" applyBorder="1" applyAlignment="1">
      <alignment horizontal="center" vertical="center"/>
    </xf>
    <xf numFmtId="179" fontId="2" fillId="0" borderId="4" xfId="1" applyNumberFormat="1" applyBorder="1" applyAlignment="1">
      <alignment horizontal="center" vertical="center"/>
    </xf>
    <xf numFmtId="178" fontId="0" fillId="5" borderId="0" xfId="0" applyNumberFormat="1" applyFill="1">
      <alignment vertical="center"/>
    </xf>
    <xf numFmtId="176" fontId="0" fillId="0" borderId="5" xfId="0" applyNumberFormat="1" applyBorder="1">
      <alignment vertical="center"/>
    </xf>
    <xf numFmtId="178" fontId="0" fillId="0" borderId="0" xfId="0" applyNumberFormat="1" applyFill="1">
      <alignment vertical="center"/>
    </xf>
    <xf numFmtId="1" fontId="0" fillId="0" borderId="0" xfId="0" applyNumberFormat="1" applyFill="1">
      <alignment vertical="center"/>
    </xf>
  </cellXfs>
  <cellStyles count="2">
    <cellStyle name="標準" xfId="0" builtinId="0"/>
    <cellStyle name="標準 2" xfId="1" xr:uid="{F7FF8735-DEE9-4C05-8F83-6A56E7C36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data_LabourForce!$A$2:$A$47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集計加工用!$AL$2:$AL$47</c:f>
              <c:numCache>
                <c:formatCode>0.000</c:formatCode>
                <c:ptCount val="46"/>
                <c:pt idx="0">
                  <c:v>1.7517662170841364</c:v>
                </c:pt>
                <c:pt idx="1">
                  <c:v>1.5187823202263682</c:v>
                </c:pt>
                <c:pt idx="2">
                  <c:v>1.3500090793535469</c:v>
                </c:pt>
                <c:pt idx="3">
                  <c:v>1.3670197537933009</c:v>
                </c:pt>
                <c:pt idx="4">
                  <c:v>1.4851130983692757</c:v>
                </c:pt>
                <c:pt idx="5">
                  <c:v>1.431140130587645</c:v>
                </c:pt>
                <c:pt idx="6">
                  <c:v>1.3308491861149248</c:v>
                </c:pt>
                <c:pt idx="7">
                  <c:v>1.2982595723520591</c:v>
                </c:pt>
                <c:pt idx="8">
                  <c:v>1.2955047160345214</c:v>
                </c:pt>
                <c:pt idx="9">
                  <c:v>1.2689973995954926</c:v>
                </c:pt>
                <c:pt idx="10">
                  <c:v>1.1309939528149184</c:v>
                </c:pt>
                <c:pt idx="11">
                  <c:v>0.98504561088679232</c:v>
                </c:pt>
                <c:pt idx="12">
                  <c:v>0.91822543633961506</c:v>
                </c:pt>
                <c:pt idx="13">
                  <c:v>0.86304264310411061</c:v>
                </c:pt>
                <c:pt idx="14">
                  <c:v>1.1187676993049038</c:v>
                </c:pt>
                <c:pt idx="15">
                  <c:v>1.0669016905696724</c:v>
                </c:pt>
                <c:pt idx="16">
                  <c:v>1.0234811777860604</c:v>
                </c:pt>
                <c:pt idx="17">
                  <c:v>1.0106820049301593</c:v>
                </c:pt>
                <c:pt idx="18">
                  <c:v>0.86688417618270763</c:v>
                </c:pt>
                <c:pt idx="19">
                  <c:v>0.81684408265497765</c:v>
                </c:pt>
                <c:pt idx="20">
                  <c:v>0.8689854663468326</c:v>
                </c:pt>
                <c:pt idx="21">
                  <c:v>1.0072604474461802</c:v>
                </c:pt>
                <c:pt idx="22">
                  <c:v>0.93852240736514037</c:v>
                </c:pt>
                <c:pt idx="23">
                  <c:v>0.8909489774255237</c:v>
                </c:pt>
                <c:pt idx="24">
                  <c:v>0.91534668260610252</c:v>
                </c:pt>
                <c:pt idx="25">
                  <c:v>0.99991667361053582</c:v>
                </c:pt>
                <c:pt idx="26">
                  <c:v>0.87010761532661318</c:v>
                </c:pt>
                <c:pt idx="27">
                  <c:v>0.65492090089202171</c:v>
                </c:pt>
                <c:pt idx="28">
                  <c:v>0.68550012923235915</c:v>
                </c:pt>
                <c:pt idx="29">
                  <c:v>0.68019129121570465</c:v>
                </c:pt>
                <c:pt idx="30">
                  <c:v>0.71206143811477352</c:v>
                </c:pt>
                <c:pt idx="31">
                  <c:v>0.71206143811477352</c:v>
                </c:pt>
                <c:pt idx="32">
                  <c:v>0.71206143811477352</c:v>
                </c:pt>
                <c:pt idx="33">
                  <c:v>0.71206143811477352</c:v>
                </c:pt>
                <c:pt idx="34">
                  <c:v>0.71206143811477352</c:v>
                </c:pt>
                <c:pt idx="35">
                  <c:v>0.71206143811477352</c:v>
                </c:pt>
                <c:pt idx="36">
                  <c:v>0.71206143811477352</c:v>
                </c:pt>
                <c:pt idx="37">
                  <c:v>0.71206143811477352</c:v>
                </c:pt>
                <c:pt idx="38">
                  <c:v>0.71206143811477352</c:v>
                </c:pt>
                <c:pt idx="39">
                  <c:v>0.71206143811477352</c:v>
                </c:pt>
                <c:pt idx="40">
                  <c:v>0.71206143811477352</c:v>
                </c:pt>
                <c:pt idx="41">
                  <c:v>0.71206143811477352</c:v>
                </c:pt>
                <c:pt idx="42">
                  <c:v>0.71206143811477352</c:v>
                </c:pt>
                <c:pt idx="43">
                  <c:v>0.71206143811477352</c:v>
                </c:pt>
                <c:pt idx="44">
                  <c:v>0.71206143811477352</c:v>
                </c:pt>
                <c:pt idx="45">
                  <c:v>0.71206143811477352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3-460F-94D7-6AD73EA2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79424"/>
        <c:axId val="736380384"/>
      </c:lineChart>
      <c:catAx>
        <c:axId val="7363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3803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363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37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data_LabourForce!$A$2:$A$47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集計加工用!$AD$2:$AD$47</c:f>
              <c:numCache>
                <c:formatCode>0.0</c:formatCode>
                <c:ptCount val="46"/>
                <c:pt idx="0">
                  <c:v>117.8</c:v>
                </c:pt>
                <c:pt idx="1">
                  <c:v>117.9</c:v>
                </c:pt>
                <c:pt idx="2">
                  <c:v>116.3</c:v>
                </c:pt>
                <c:pt idx="3">
                  <c:v>115</c:v>
                </c:pt>
                <c:pt idx="4">
                  <c:v>113.7</c:v>
                </c:pt>
                <c:pt idx="5">
                  <c:v>114.5</c:v>
                </c:pt>
                <c:pt idx="6">
                  <c:v>113.3</c:v>
                </c:pt>
                <c:pt idx="7">
                  <c:v>112.2</c:v>
                </c:pt>
                <c:pt idx="8">
                  <c:v>112.2</c:v>
                </c:pt>
                <c:pt idx="9">
                  <c:v>112.4</c:v>
                </c:pt>
                <c:pt idx="10">
                  <c:v>111.7</c:v>
                </c:pt>
                <c:pt idx="11">
                  <c:v>112.2</c:v>
                </c:pt>
                <c:pt idx="12">
                  <c:v>111.4</c:v>
                </c:pt>
                <c:pt idx="13">
                  <c:v>110.2</c:v>
                </c:pt>
                <c:pt idx="14">
                  <c:v>107</c:v>
                </c:pt>
                <c:pt idx="15">
                  <c:v>108.6</c:v>
                </c:pt>
                <c:pt idx="16">
                  <c:v>108.3</c:v>
                </c:pt>
                <c:pt idx="17">
                  <c:v>108.9</c:v>
                </c:pt>
                <c:pt idx="18">
                  <c:v>107.7</c:v>
                </c:pt>
                <c:pt idx="19">
                  <c:v>107.3</c:v>
                </c:pt>
                <c:pt idx="20">
                  <c:v>106.9</c:v>
                </c:pt>
                <c:pt idx="21">
                  <c:v>106.3</c:v>
                </c:pt>
                <c:pt idx="22">
                  <c:v>106.1</c:v>
                </c:pt>
                <c:pt idx="23">
                  <c:v>105.2</c:v>
                </c:pt>
                <c:pt idx="24">
                  <c:v>102.9</c:v>
                </c:pt>
                <c:pt idx="25">
                  <c:v>100</c:v>
                </c:pt>
                <c:pt idx="26">
                  <c:v>100.7</c:v>
                </c:pt>
                <c:pt idx="27">
                  <c:v>100.8</c:v>
                </c:pt>
                <c:pt idx="28">
                  <c:v>100.9</c:v>
                </c:pt>
                <c:pt idx="29">
                  <c:v>99.891000000000005</c:v>
                </c:pt>
                <c:pt idx="30">
                  <c:v>98.492525999999998</c:v>
                </c:pt>
                <c:pt idx="31">
                  <c:v>99.023738838709704</c:v>
                </c:pt>
                <c:pt idx="32">
                  <c:v>98.439811424349642</c:v>
                </c:pt>
                <c:pt idx="33">
                  <c:v>97.908772480145018</c:v>
                </c:pt>
                <c:pt idx="34">
                  <c:v>97.321213598466571</c:v>
                </c:pt>
                <c:pt idx="35">
                  <c:v>96.68423568379643</c:v>
                </c:pt>
                <c:pt idx="36">
                  <c:v>95.98686569240455</c:v>
                </c:pt>
                <c:pt idx="37">
                  <c:v>95.366065794485991</c:v>
                </c:pt>
                <c:pt idx="38">
                  <c:v>94.699440969788242</c:v>
                </c:pt>
                <c:pt idx="39">
                  <c:v>93.984438323874741</c:v>
                </c:pt>
                <c:pt idx="40">
                  <c:v>93.290084104489878</c:v>
                </c:pt>
                <c:pt idx="41">
                  <c:v>92.637849093417458</c:v>
                </c:pt>
                <c:pt idx="42">
                  <c:v>91.975067086693841</c:v>
                </c:pt>
                <c:pt idx="43">
                  <c:v>91.385230310758033</c:v>
                </c:pt>
                <c:pt idx="44">
                  <c:v>90.792994808335706</c:v>
                </c:pt>
                <c:pt idx="45">
                  <c:v>90.168308077789462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3-442C-8B24-423FE60D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79424"/>
        <c:axId val="736380384"/>
      </c:lineChart>
      <c:catAx>
        <c:axId val="7363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3803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36380384"/>
        <c:scaling>
          <c:orientation val="minMax"/>
          <c:max val="12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37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3</xdr:row>
      <xdr:rowOff>0</xdr:rowOff>
    </xdr:from>
    <xdr:to>
      <xdr:col>47</xdr:col>
      <xdr:colOff>304800</xdr:colOff>
      <xdr:row>20</xdr:row>
      <xdr:rowOff>22860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45ACF9-BD0C-4332-8978-81496932B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0</xdr:colOff>
      <xdr:row>22</xdr:row>
      <xdr:rowOff>0</xdr:rowOff>
    </xdr:from>
    <xdr:to>
      <xdr:col>47</xdr:col>
      <xdr:colOff>304800</xdr:colOff>
      <xdr:row>39</xdr:row>
      <xdr:rowOff>22860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543E04-BE95-420B-82E7-A8EA23409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32C4-02CF-424A-8F82-A698891031F2}">
  <dimension ref="A1:Q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33" sqref="S33"/>
    </sheetView>
  </sheetViews>
  <sheetFormatPr defaultRowHeight="12.6" x14ac:dyDescent="0.25"/>
  <sheetData>
    <row r="1" spans="1:17" x14ac:dyDescent="0.25">
      <c r="A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37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34</v>
      </c>
      <c r="O1" s="3" t="s">
        <v>10</v>
      </c>
      <c r="P1" s="3" t="s">
        <v>11</v>
      </c>
      <c r="Q1" s="3" t="s">
        <v>30</v>
      </c>
    </row>
    <row r="2" spans="1:17" x14ac:dyDescent="0.25">
      <c r="A2">
        <v>1995</v>
      </c>
      <c r="B2">
        <f>IF(HLOOKUP(B$1,集計加工用!$B$1:$AL$47,ROW(),FALSE)=0,"NA",HLOOKUP(B$1,集計加工用!$B$1:$AL$47,ROW(),FALSE))</f>
        <v>530463.19999999995</v>
      </c>
      <c r="C2">
        <f>IF(HLOOKUP(C$1,集計加工用!$B$1:$AL$47,ROW(),FALSE)=0,"NA",HLOOKUP(C$1,集計加工用!$B$1:$AL$47,ROW(),FALSE))</f>
        <v>274056.59999999998</v>
      </c>
      <c r="D2">
        <f>IF(HLOOKUP(D$1,集計加工用!$B$1:$AL$47,ROW(),FALSE)=0,"NA",HLOOKUP(D$1,集計加工用!$B$1:$AL$47,ROW(),FALSE))</f>
        <v>125366.79999999999</v>
      </c>
      <c r="E2">
        <f>IF(HLOOKUP(E$1,集計加工用!$B$1:$AL$47,ROW(),FALSE)=0,"NA",HLOOKUP(E$1,集計加工用!$B$1:$AL$47,ROW(),FALSE))</f>
        <v>124557.09999999999</v>
      </c>
      <c r="F2">
        <f>IF(HLOOKUP(F$1,集計加工用!$B$1:$AL$47,ROW(),FALSE)=0,"NA",HLOOKUP(F$1,集計加工用!$B$1:$AL$47,ROW(),FALSE))</f>
        <v>114170.09999999998</v>
      </c>
      <c r="G2">
        <f>IF(HLOOKUP(G$1,集計加工用!$B$1:$AL$47,ROW(),FALSE)=0,"NA",HLOOKUP(G$1,集計加工用!$B$1:$AL$47,ROW(),FALSE))</f>
        <v>111.6</v>
      </c>
      <c r="H2">
        <f>IF(HLOOKUP(H$1,集計加工用!$B$1:$AL$47,ROW(),FALSE)=0,"NA",HLOOKUP(H$1,集計加工用!$B$1:$AL$47,ROW(),FALSE))</f>
        <v>105.2</v>
      </c>
      <c r="I2">
        <f>IF(HLOOKUP(I$1,集計加工用!$B$1:$AL$47,ROW(),FALSE)=0,"NA",HLOOKUP(I$1,集計加工用!$B$1:$AL$47,ROW(),FALSE))</f>
        <v>105556</v>
      </c>
      <c r="J2">
        <f>IF(HLOOKUP(J$1,集計加工用!$B$1:$AL$47,ROW(),FALSE)=0,"NA",HLOOKUP(J$1,集計加工用!$B$1:$AL$47,ROW(),FALSE))</f>
        <v>6666</v>
      </c>
      <c r="K2">
        <f>IF(HLOOKUP(K$1,集計加工用!$B$1:$AL$47,ROW(),FALSE)=0,"NA",HLOOKUP(K$1,集計加工用!$B$1:$AL$47,ROW(),FALSE))</f>
        <v>6457</v>
      </c>
      <c r="L2">
        <f>IF(HLOOKUP(L$1,集計加工用!$B$1:$AL$47,ROW(),FALSE)=0,"NA",HLOOKUP(L$1,集計加工用!$B$1:$AL$47,ROW(),FALSE))</f>
        <v>210</v>
      </c>
      <c r="M2">
        <f>IF(HLOOKUP(M$1,集計加工用!$B$1:$AL$47,ROW(),FALSE)=0,"NA",HLOOKUP(M$1,集計加工用!$B$1:$AL$47,ROW(),FALSE))</f>
        <v>93.293718166383712</v>
      </c>
      <c r="N2">
        <f>IF(HLOOKUP(N$1,集計加工用!$B$1:$AL$47,ROW(),FALSE)=0,"NA",HLOOKUP(N$1,集計加工用!$B$1:$AL$47,ROW(),FALSE))</f>
        <v>117.8</v>
      </c>
      <c r="O2">
        <f>IF(HLOOKUP(O$1,集計加工用!$B$1:$AL$47,ROW(),FALSE)=0,"NA",HLOOKUP(O$1,集計加工用!$B$1:$AL$47,ROW(),FALSE))</f>
        <v>95.9</v>
      </c>
      <c r="P2">
        <f>IF(HLOOKUP(P$1,集計加工用!$B$1:$AL$47,ROW(),FALSE)=0,"NA",HLOOKUP(P$1,集計加工用!$B$1:$AL$47,ROW(),FALSE))</f>
        <v>3.5058333333333298</v>
      </c>
      <c r="Q2">
        <f>IF(HLOOKUP(Q$1,集計加工用!$B$1:$AL$47,ROW(),FALSE)=0,"NA",HLOOKUP(Q$1,集計加工用!$B$1:$AL$47,ROW(),FALSE))</f>
        <v>1.7517662170841364</v>
      </c>
    </row>
    <row r="3" spans="1:17" x14ac:dyDescent="0.25">
      <c r="A3">
        <v>1996</v>
      </c>
      <c r="B3">
        <f>IF(HLOOKUP(B$1,集計加工用!$B$1:$AL$47,ROW(),FALSE)=0,"NA",HLOOKUP(B$1,集計加工用!$B$1:$AL$47,ROW(),FALSE))</f>
        <v>546227.9</v>
      </c>
      <c r="C3">
        <f>IF(HLOOKUP(C$1,集計加工用!$B$1:$AL$47,ROW(),FALSE)=0,"NA",HLOOKUP(C$1,集計加工用!$B$1:$AL$47,ROW(),FALSE))</f>
        <v>279898</v>
      </c>
      <c r="D3">
        <f>IF(HLOOKUP(D$1,集計加工用!$B$1:$AL$47,ROW(),FALSE)=0,"NA",HLOOKUP(D$1,集計加工用!$B$1:$AL$47,ROW(),FALSE))</f>
        <v>134570.9</v>
      </c>
      <c r="E3">
        <f>IF(HLOOKUP(E$1,集計加工用!$B$1:$AL$47,ROW(),FALSE)=0,"NA",HLOOKUP(E$1,集計加工用!$B$1:$AL$47,ROW(),FALSE))</f>
        <v>129736.7</v>
      </c>
      <c r="F3">
        <f>IF(HLOOKUP(F$1,集計加工用!$B$1:$AL$47,ROW(),FALSE)=0,"NA",HLOOKUP(F$1,集計加工用!$B$1:$AL$47,ROW(),FALSE))</f>
        <v>115264.80000000005</v>
      </c>
      <c r="G3">
        <f>IF(HLOOKUP(G$1,集計加工用!$B$1:$AL$47,ROW(),FALSE)=0,"NA",HLOOKUP(G$1,集計加工用!$B$1:$AL$47,ROW(),FALSE))</f>
        <v>111.5</v>
      </c>
      <c r="H3">
        <f>IF(HLOOKUP(H$1,集計加工用!$B$1:$AL$47,ROW(),FALSE)=0,"NA",HLOOKUP(H$1,集計加工用!$B$1:$AL$47,ROW(),FALSE))</f>
        <v>105.4</v>
      </c>
      <c r="I3">
        <f>IF(HLOOKUP(I$1,集計加工用!$B$1:$AL$47,ROW(),FALSE)=0,"NA",HLOOKUP(I$1,集計加工用!$B$1:$AL$47,ROW(),FALSE))</f>
        <v>106173</v>
      </c>
      <c r="J3">
        <f>IF(HLOOKUP(J$1,集計加工用!$B$1:$AL$47,ROW(),FALSE)=0,"NA",HLOOKUP(J$1,集計加工用!$B$1:$AL$47,ROW(),FALSE))</f>
        <v>6711</v>
      </c>
      <c r="K3">
        <f>IF(HLOOKUP(K$1,集計加工用!$B$1:$AL$47,ROW(),FALSE)=0,"NA",HLOOKUP(K$1,集計加工用!$B$1:$AL$47,ROW(),FALSE))</f>
        <v>6486</v>
      </c>
      <c r="L3">
        <f>IF(HLOOKUP(L$1,集計加工用!$B$1:$AL$47,ROW(),FALSE)=0,"NA",HLOOKUP(L$1,集計加工用!$B$1:$AL$47,ROW(),FALSE))</f>
        <v>225</v>
      </c>
      <c r="M3">
        <f>IF(HLOOKUP(M$1,集計加工用!$B$1:$AL$47,ROW(),FALSE)=0,"NA",HLOOKUP(M$1,集計加工用!$B$1:$AL$47,ROW(),FALSE))</f>
        <v>94.232400339270555</v>
      </c>
      <c r="N3">
        <f>IF(HLOOKUP(N$1,集計加工用!$B$1:$AL$47,ROW(),FALSE)=0,"NA",HLOOKUP(N$1,集計加工用!$B$1:$AL$47,ROW(),FALSE))</f>
        <v>117.9</v>
      </c>
      <c r="O3">
        <f>IF(HLOOKUP(O$1,集計加工用!$B$1:$AL$47,ROW(),FALSE)=0,"NA",HLOOKUP(O$1,集計加工用!$B$1:$AL$47,ROW(),FALSE))</f>
        <v>96</v>
      </c>
      <c r="P3">
        <f>IF(HLOOKUP(P$1,集計加工用!$B$1:$AL$47,ROW(),FALSE)=0,"NA",HLOOKUP(P$1,集計加工用!$B$1:$AL$47,ROW(),FALSE))</f>
        <v>2.6575833333333301</v>
      </c>
      <c r="Q3">
        <f>IF(HLOOKUP(Q$1,集計加工用!$B$1:$AL$47,ROW(),FALSE)=0,"NA",HLOOKUP(Q$1,集計加工用!$B$1:$AL$47,ROW(),FALSE))</f>
        <v>1.5187823202263682</v>
      </c>
    </row>
    <row r="4" spans="1:17" x14ac:dyDescent="0.25">
      <c r="A4">
        <v>1997</v>
      </c>
      <c r="B4">
        <f>IF(HLOOKUP(B$1,集計加工用!$B$1:$AL$47,ROW(),FALSE)=0,"NA",HLOOKUP(B$1,集計加工用!$B$1:$AL$47,ROW(),FALSE))</f>
        <v>554111.80000000005</v>
      </c>
      <c r="C4">
        <f>IF(HLOOKUP(C$1,集計加工用!$B$1:$AL$47,ROW(),FALSE)=0,"NA",HLOOKUP(C$1,集計加工用!$B$1:$AL$47,ROW(),FALSE))</f>
        <v>284813.7</v>
      </c>
      <c r="D4">
        <f>IF(HLOOKUP(D$1,集計加工用!$B$1:$AL$47,ROW(),FALSE)=0,"NA",HLOOKUP(D$1,集計加工用!$B$1:$AL$47,ROW(),FALSE))</f>
        <v>135287</v>
      </c>
      <c r="E4">
        <f>IF(HLOOKUP(E$1,集計加工用!$B$1:$AL$47,ROW(),FALSE)=0,"NA",HLOOKUP(E$1,集計加工用!$B$1:$AL$47,ROW(),FALSE))</f>
        <v>128663.40000000001</v>
      </c>
      <c r="F4">
        <f>IF(HLOOKUP(F$1,集計加工用!$B$1:$AL$47,ROW(),FALSE)=0,"NA",HLOOKUP(F$1,集計加工用!$B$1:$AL$47,ROW(),FALSE))</f>
        <v>126647.30000000005</v>
      </c>
      <c r="G4">
        <f>IF(HLOOKUP(G$1,集計加工用!$B$1:$AL$47,ROW(),FALSE)=0,"NA",HLOOKUP(G$1,集計加工用!$B$1:$AL$47,ROW(),FALSE))</f>
        <v>111.6</v>
      </c>
      <c r="H4">
        <f>IF(HLOOKUP(H$1,集計加工用!$B$1:$AL$47,ROW(),FALSE)=0,"NA",HLOOKUP(H$1,集計加工用!$B$1:$AL$47,ROW(),FALSE))</f>
        <v>106.7</v>
      </c>
      <c r="I4">
        <f>IF(HLOOKUP(I$1,集計加工用!$B$1:$AL$47,ROW(),FALSE)=0,"NA",HLOOKUP(I$1,集計加工用!$B$1:$AL$47,ROW(),FALSE))</f>
        <v>106791</v>
      </c>
      <c r="J4">
        <f>IF(HLOOKUP(J$1,集計加工用!$B$1:$AL$47,ROW(),FALSE)=0,"NA",HLOOKUP(J$1,集計加工用!$B$1:$AL$47,ROW(),FALSE))</f>
        <v>6787</v>
      </c>
      <c r="K4">
        <f>IF(HLOOKUP(K$1,集計加工用!$B$1:$AL$47,ROW(),FALSE)=0,"NA",HLOOKUP(K$1,集計加工用!$B$1:$AL$47,ROW(),FALSE))</f>
        <v>6557</v>
      </c>
      <c r="L4">
        <f>IF(HLOOKUP(L$1,集計加工用!$B$1:$AL$47,ROW(),FALSE)=0,"NA",HLOOKUP(L$1,集計加工用!$B$1:$AL$47,ROW(),FALSE))</f>
        <v>230</v>
      </c>
      <c r="M4">
        <f>IF(HLOOKUP(M$1,集計加工用!$B$1:$AL$47,ROW(),FALSE)=0,"NA",HLOOKUP(M$1,集計加工用!$B$1:$AL$47,ROW(),FALSE))</f>
        <v>97.076526225279451</v>
      </c>
      <c r="N4">
        <f>IF(HLOOKUP(N$1,集計加工用!$B$1:$AL$47,ROW(),FALSE)=0,"NA",HLOOKUP(N$1,集計加工用!$B$1:$AL$47,ROW(),FALSE))</f>
        <v>116.3</v>
      </c>
      <c r="O4">
        <f>IF(HLOOKUP(O$1,集計加工用!$B$1:$AL$47,ROW(),FALSE)=0,"NA",HLOOKUP(O$1,集計加工用!$B$1:$AL$47,ROW(),FALSE))</f>
        <v>97.7</v>
      </c>
      <c r="P4">
        <f>IF(HLOOKUP(P$1,集計加工用!$B$1:$AL$47,ROW(),FALSE)=0,"NA",HLOOKUP(P$1,集計加工用!$B$1:$AL$47,ROW(),FALSE))</f>
        <v>2.4488333333333299</v>
      </c>
      <c r="Q4">
        <f>IF(HLOOKUP(Q$1,集計加工用!$B$1:$AL$47,ROW(),FALSE)=0,"NA",HLOOKUP(Q$1,集計加工用!$B$1:$AL$47,ROW(),FALSE))</f>
        <v>1.3500090793535469</v>
      </c>
    </row>
    <row r="5" spans="1:17" x14ac:dyDescent="0.25">
      <c r="A5">
        <v>1998</v>
      </c>
      <c r="B5">
        <f>IF(HLOOKUP(B$1,集計加工用!$B$1:$AL$47,ROW(),FALSE)=0,"NA",HLOOKUP(B$1,集計加工用!$B$1:$AL$47,ROW(),FALSE))</f>
        <v>543304</v>
      </c>
      <c r="C5">
        <f>IF(HLOOKUP(C$1,集計加工用!$B$1:$AL$47,ROW(),FALSE)=0,"NA",HLOOKUP(C$1,集計加工用!$B$1:$AL$47,ROW(),FALSE))</f>
        <v>283238.3</v>
      </c>
      <c r="D5">
        <f>IF(HLOOKUP(D$1,集計加工用!$B$1:$AL$47,ROW(),FALSE)=0,"NA",HLOOKUP(D$1,集計加工用!$B$1:$AL$47,ROW(),FALSE))</f>
        <v>123964</v>
      </c>
      <c r="E5">
        <f>IF(HLOOKUP(E$1,集計加工用!$B$1:$AL$47,ROW(),FALSE)=0,"NA",HLOOKUP(E$1,集計加工用!$B$1:$AL$47,ROW(),FALSE))</f>
        <v>126742.9</v>
      </c>
      <c r="F5">
        <f>IF(HLOOKUP(F$1,集計加工用!$B$1:$AL$47,ROW(),FALSE)=0,"NA",HLOOKUP(F$1,集計加工用!$B$1:$AL$47,ROW(),FALSE))</f>
        <v>129640.5</v>
      </c>
      <c r="G5">
        <f>IF(HLOOKUP(G$1,集計加工用!$B$1:$AL$47,ROW(),FALSE)=0,"NA",HLOOKUP(G$1,集計加工用!$B$1:$AL$47,ROW(),FALSE))</f>
        <v>111.4</v>
      </c>
      <c r="H5">
        <f>IF(HLOOKUP(H$1,集計加工用!$B$1:$AL$47,ROW(),FALSE)=0,"NA",HLOOKUP(H$1,集計加工用!$B$1:$AL$47,ROW(),FALSE))</f>
        <v>106.8</v>
      </c>
      <c r="I5">
        <f>IF(HLOOKUP(I$1,集計加工用!$B$1:$AL$47,ROW(),FALSE)=0,"NA",HLOOKUP(I$1,集計加工用!$B$1:$AL$47,ROW(),FALSE))</f>
        <v>107413</v>
      </c>
      <c r="J5">
        <f>IF(HLOOKUP(J$1,集計加工用!$B$1:$AL$47,ROW(),FALSE)=0,"NA",HLOOKUP(J$1,集計加工用!$B$1:$AL$47,ROW(),FALSE))</f>
        <v>6793</v>
      </c>
      <c r="K5">
        <f>IF(HLOOKUP(K$1,集計加工用!$B$1:$AL$47,ROW(),FALSE)=0,"NA",HLOOKUP(K$1,集計加工用!$B$1:$AL$47,ROW(),FALSE))</f>
        <v>6514</v>
      </c>
      <c r="L5">
        <f>IF(HLOOKUP(L$1,集計加工用!$B$1:$AL$47,ROW(),FALSE)=0,"NA",HLOOKUP(L$1,集計加工用!$B$1:$AL$47,ROW(),FALSE))</f>
        <v>279</v>
      </c>
      <c r="M5">
        <f>IF(HLOOKUP(M$1,集計加工用!$B$1:$AL$47,ROW(),FALSE)=0,"NA",HLOOKUP(M$1,集計加工用!$B$1:$AL$47,ROW(),FALSE))</f>
        <v>96.869565217391312</v>
      </c>
      <c r="N5">
        <f>IF(HLOOKUP(N$1,集計加工用!$B$1:$AL$47,ROW(),FALSE)=0,"NA",HLOOKUP(N$1,集計加工用!$B$1:$AL$47,ROW(),FALSE))</f>
        <v>115</v>
      </c>
      <c r="O5">
        <f>IF(HLOOKUP(O$1,集計加工用!$B$1:$AL$47,ROW(),FALSE)=0,"NA",HLOOKUP(O$1,集計加工用!$B$1:$AL$47,ROW(),FALSE))</f>
        <v>98.3</v>
      </c>
      <c r="P5">
        <f>IF(HLOOKUP(P$1,集計加工用!$B$1:$AL$47,ROW(),FALSE)=0,"NA",HLOOKUP(P$1,集計加工用!$B$1:$AL$47,ROW(),FALSE))</f>
        <v>2.3209166666666698</v>
      </c>
      <c r="Q5">
        <f>IF(HLOOKUP(Q$1,集計加工用!$B$1:$AL$47,ROW(),FALSE)=0,"NA",HLOOKUP(Q$1,集計加工用!$B$1:$AL$47,ROW(),FALSE))</f>
        <v>1.3670197537933009</v>
      </c>
    </row>
    <row r="6" spans="1:17" x14ac:dyDescent="0.25">
      <c r="A6">
        <v>1999</v>
      </c>
      <c r="B6">
        <f>IF(HLOOKUP(B$1,集計加工用!$B$1:$AL$47,ROW(),FALSE)=0,"NA",HLOOKUP(B$1,集計加工用!$B$1:$AL$47,ROW(),FALSE))</f>
        <v>534107.1</v>
      </c>
      <c r="C6">
        <f>IF(HLOOKUP(C$1,集計加工用!$B$1:$AL$47,ROW(),FALSE)=0,"NA",HLOOKUP(C$1,集計加工用!$B$1:$AL$47,ROW(),FALSE))</f>
        <v>284604.09999999998</v>
      </c>
      <c r="D6">
        <f>IF(HLOOKUP(D$1,集計加工用!$B$1:$AL$47,ROW(),FALSE)=0,"NA",HLOOKUP(D$1,集計加工用!$B$1:$AL$47,ROW(),FALSE))</f>
        <v>111656.6</v>
      </c>
      <c r="E6">
        <f>IF(HLOOKUP(E$1,集計加工用!$B$1:$AL$47,ROW(),FALSE)=0,"NA",HLOOKUP(E$1,集計加工用!$B$1:$AL$47,ROW(),FALSE))</f>
        <v>130002.3</v>
      </c>
      <c r="F6">
        <f>IF(HLOOKUP(F$1,集計加工用!$B$1:$AL$47,ROW(),FALSE)=0,"NA",HLOOKUP(F$1,集計加工用!$B$1:$AL$47,ROW(),FALSE))</f>
        <v>122474.09999999998</v>
      </c>
      <c r="G6">
        <f>IF(HLOOKUP(G$1,集計加工用!$B$1:$AL$47,ROW(),FALSE)=0,"NA",HLOOKUP(G$1,集計加工用!$B$1:$AL$47,ROW(),FALSE))</f>
        <v>109.9</v>
      </c>
      <c r="H6">
        <f>IF(HLOOKUP(H$1,集計加工用!$B$1:$AL$47,ROW(),FALSE)=0,"NA",HLOOKUP(H$1,集計加工用!$B$1:$AL$47,ROW(),FALSE))</f>
        <v>106.1</v>
      </c>
      <c r="I6">
        <f>IF(HLOOKUP(I$1,集計加工用!$B$1:$AL$47,ROW(),FALSE)=0,"NA",HLOOKUP(I$1,集計加工用!$B$1:$AL$47,ROW(),FALSE))</f>
        <v>107925</v>
      </c>
      <c r="J6">
        <f>IF(HLOOKUP(J$1,集計加工用!$B$1:$AL$47,ROW(),FALSE)=0,"NA",HLOOKUP(J$1,集計加工用!$B$1:$AL$47,ROW(),FALSE))</f>
        <v>6779</v>
      </c>
      <c r="K6">
        <f>IF(HLOOKUP(K$1,集計加工用!$B$1:$AL$47,ROW(),FALSE)=0,"NA",HLOOKUP(K$1,集計加工用!$B$1:$AL$47,ROW(),FALSE))</f>
        <v>6462</v>
      </c>
      <c r="L6">
        <f>IF(HLOOKUP(L$1,集計加工用!$B$1:$AL$47,ROW(),FALSE)=0,"NA",HLOOKUP(L$1,集計加工用!$B$1:$AL$47,ROW(),FALSE))</f>
        <v>317</v>
      </c>
      <c r="M6">
        <f>IF(HLOOKUP(M$1,集計加工用!$B$1:$AL$47,ROW(),FALSE)=0,"NA",HLOOKUP(M$1,集計加工用!$B$1:$AL$47,ROW(),FALSE))</f>
        <v>96.481970096745812</v>
      </c>
      <c r="N6">
        <f>IF(HLOOKUP(N$1,集計加工用!$B$1:$AL$47,ROW(),FALSE)=0,"NA",HLOOKUP(N$1,集計加工用!$B$1:$AL$47,ROW(),FALSE))</f>
        <v>113.7</v>
      </c>
      <c r="O6">
        <f>IF(HLOOKUP(O$1,集計加工用!$B$1:$AL$47,ROW(),FALSE)=0,"NA",HLOOKUP(O$1,集計加工用!$B$1:$AL$47,ROW(),FALSE))</f>
        <v>98</v>
      </c>
      <c r="P6">
        <f>IF(HLOOKUP(P$1,集計加工用!$B$1:$AL$47,ROW(),FALSE)=0,"NA",HLOOKUP(P$1,集計加工用!$B$1:$AL$47,ROW(),FALSE))</f>
        <v>2.1608333333333301</v>
      </c>
      <c r="Q6">
        <f>IF(HLOOKUP(Q$1,集計加工用!$B$1:$AL$47,ROW(),FALSE)=0,"NA",HLOOKUP(Q$1,集計加工用!$B$1:$AL$47,ROW(),FALSE))</f>
        <v>1.4851130983692757</v>
      </c>
    </row>
    <row r="7" spans="1:17" x14ac:dyDescent="0.25">
      <c r="A7">
        <v>2000</v>
      </c>
      <c r="B7">
        <f>IF(HLOOKUP(B$1,集計加工用!$B$1:$AL$47,ROW(),FALSE)=0,"NA",HLOOKUP(B$1,集計加工用!$B$1:$AL$47,ROW(),FALSE))</f>
        <v>543394.80000000005</v>
      </c>
      <c r="C7">
        <f>IF(HLOOKUP(C$1,集計加工用!$B$1:$AL$47,ROW(),FALSE)=0,"NA",HLOOKUP(C$1,集計加工用!$B$1:$AL$47,ROW(),FALSE))</f>
        <v>286394.8</v>
      </c>
      <c r="D7">
        <f>IF(HLOOKUP(D$1,集計加工用!$B$1:$AL$47,ROW(),FALSE)=0,"NA",HLOOKUP(D$1,集計加工用!$B$1:$AL$47,ROW(),FALSE))</f>
        <v>120845.6</v>
      </c>
      <c r="E7">
        <f>IF(HLOOKUP(E$1,集計加工用!$B$1:$AL$47,ROW(),FALSE)=0,"NA",HLOOKUP(E$1,集計加工用!$B$1:$AL$47,ROW(),FALSE))</f>
        <v>128848</v>
      </c>
      <c r="F7">
        <f>IF(HLOOKUP(F$1,集計加工用!$B$1:$AL$47,ROW(),FALSE)=0,"NA",HLOOKUP(F$1,集計加工用!$B$1:$AL$47,ROW(),FALSE))</f>
        <v>117304.00000000006</v>
      </c>
      <c r="G7">
        <f>IF(HLOOKUP(G$1,集計加工用!$B$1:$AL$47,ROW(),FALSE)=0,"NA",HLOOKUP(G$1,集計加工用!$B$1:$AL$47,ROW(),FALSE))</f>
        <v>108.6</v>
      </c>
      <c r="H7">
        <f>IF(HLOOKUP(H$1,集計加工用!$B$1:$AL$47,ROW(),FALSE)=0,"NA",HLOOKUP(H$1,集計加工用!$B$1:$AL$47,ROW(),FALSE))</f>
        <v>105.1</v>
      </c>
      <c r="I7">
        <f>IF(HLOOKUP(I$1,集計加工用!$B$1:$AL$47,ROW(),FALSE)=0,"NA",HLOOKUP(I$1,集計加工用!$B$1:$AL$47,ROW(),FALSE))</f>
        <v>108454</v>
      </c>
      <c r="J7">
        <f>IF(HLOOKUP(J$1,集計加工用!$B$1:$AL$47,ROW(),FALSE)=0,"NA",HLOOKUP(J$1,集計加工用!$B$1:$AL$47,ROW(),FALSE))</f>
        <v>6766</v>
      </c>
      <c r="K7">
        <f>IF(HLOOKUP(K$1,集計加工用!$B$1:$AL$47,ROW(),FALSE)=0,"NA",HLOOKUP(K$1,集計加工用!$B$1:$AL$47,ROW(),FALSE))</f>
        <v>6446</v>
      </c>
      <c r="L7">
        <f>IF(HLOOKUP(L$1,集計加工用!$B$1:$AL$47,ROW(),FALSE)=0,"NA",HLOOKUP(L$1,集計加工用!$B$1:$AL$47,ROW(),FALSE))</f>
        <v>320</v>
      </c>
      <c r="M7">
        <f>IF(HLOOKUP(M$1,集計加工用!$B$1:$AL$47,ROW(),FALSE)=0,"NA",HLOOKUP(M$1,集計加工用!$B$1:$AL$47,ROW(),FALSE))</f>
        <v>95.895196506550221</v>
      </c>
      <c r="N7">
        <f>IF(HLOOKUP(N$1,集計加工用!$B$1:$AL$47,ROW(),FALSE)=0,"NA",HLOOKUP(N$1,集計加工用!$B$1:$AL$47,ROW(),FALSE))</f>
        <v>114.5</v>
      </c>
      <c r="O7">
        <f>IF(HLOOKUP(O$1,集計加工用!$B$1:$AL$47,ROW(),FALSE)=0,"NA",HLOOKUP(O$1,集計加工用!$B$1:$AL$47,ROW(),FALSE))</f>
        <v>97.3</v>
      </c>
      <c r="P7">
        <f>IF(HLOOKUP(P$1,集計加工用!$B$1:$AL$47,ROW(),FALSE)=0,"NA",HLOOKUP(P$1,集計加工用!$B$1:$AL$47,ROW(),FALSE))</f>
        <v>2.0671666666666701</v>
      </c>
      <c r="Q7">
        <f>IF(HLOOKUP(Q$1,集計加工用!$B$1:$AL$47,ROW(),FALSE)=0,"NA",HLOOKUP(Q$1,集計加工用!$B$1:$AL$47,ROW(),FALSE))</f>
        <v>1.431140130587645</v>
      </c>
    </row>
    <row r="8" spans="1:17" x14ac:dyDescent="0.25">
      <c r="A8">
        <v>2001</v>
      </c>
      <c r="B8">
        <f>IF(HLOOKUP(B$1,集計加工用!$B$1:$AL$47,ROW(),FALSE)=0,"NA",HLOOKUP(B$1,集計加工用!$B$1:$AL$47,ROW(),FALSE))</f>
        <v>539441.6</v>
      </c>
      <c r="C8">
        <f>IF(HLOOKUP(C$1,集計加工用!$B$1:$AL$47,ROW(),FALSE)=0,"NA",HLOOKUP(C$1,集計加工用!$B$1:$AL$47,ROW(),FALSE))</f>
        <v>288170.90000000002</v>
      </c>
      <c r="D8">
        <f>IF(HLOOKUP(D$1,集計加工用!$B$1:$AL$47,ROW(),FALSE)=0,"NA",HLOOKUP(D$1,集計加工用!$B$1:$AL$47,ROW(),FALSE))</f>
        <v>118323.6</v>
      </c>
      <c r="E8">
        <f>IF(HLOOKUP(E$1,集計加工用!$B$1:$AL$47,ROW(),FALSE)=0,"NA",HLOOKUP(E$1,集計加工用!$B$1:$AL$47,ROW(),FALSE))</f>
        <v>129789.2</v>
      </c>
      <c r="F8">
        <f>IF(HLOOKUP(F$1,集計加工用!$B$1:$AL$47,ROW(),FALSE)=0,"NA",HLOOKUP(F$1,集計加工用!$B$1:$AL$47,ROW(),FALSE))</f>
        <v>126951.59999999998</v>
      </c>
      <c r="G8">
        <f>IF(HLOOKUP(G$1,集計加工用!$B$1:$AL$47,ROW(),FALSE)=0,"NA",HLOOKUP(G$1,集計加工用!$B$1:$AL$47,ROW(),FALSE))</f>
        <v>107.5</v>
      </c>
      <c r="H8">
        <f>IF(HLOOKUP(H$1,集計加工用!$B$1:$AL$47,ROW(),FALSE)=0,"NA",HLOOKUP(H$1,集計加工用!$B$1:$AL$47,ROW(),FALSE))</f>
        <v>103.7</v>
      </c>
      <c r="I8">
        <f>IF(HLOOKUP(I$1,集計加工用!$B$1:$AL$47,ROW(),FALSE)=0,"NA",HLOOKUP(I$1,集計加工用!$B$1:$AL$47,ROW(),FALSE))</f>
        <v>109033</v>
      </c>
      <c r="J8">
        <f>IF(HLOOKUP(J$1,集計加工用!$B$1:$AL$47,ROW(),FALSE)=0,"NA",HLOOKUP(J$1,集計加工用!$B$1:$AL$47,ROW(),FALSE))</f>
        <v>6752</v>
      </c>
      <c r="K8">
        <f>IF(HLOOKUP(K$1,集計加工用!$B$1:$AL$47,ROW(),FALSE)=0,"NA",HLOOKUP(K$1,集計加工用!$B$1:$AL$47,ROW(),FALSE))</f>
        <v>6412</v>
      </c>
      <c r="L8">
        <f>IF(HLOOKUP(L$1,集計加工用!$B$1:$AL$47,ROW(),FALSE)=0,"NA",HLOOKUP(L$1,集計加工用!$B$1:$AL$47,ROW(),FALSE))</f>
        <v>340</v>
      </c>
      <c r="M8">
        <f>IF(HLOOKUP(M$1,集計加工用!$B$1:$AL$47,ROW(),FALSE)=0,"NA",HLOOKUP(M$1,集計加工用!$B$1:$AL$47,ROW(),FALSE))</f>
        <v>95.410414827890548</v>
      </c>
      <c r="N8">
        <f>IF(HLOOKUP(N$1,集計加工用!$B$1:$AL$47,ROW(),FALSE)=0,"NA",HLOOKUP(N$1,集計加工用!$B$1:$AL$47,ROW(),FALSE))</f>
        <v>113.3</v>
      </c>
      <c r="O8">
        <f>IF(HLOOKUP(O$1,集計加工用!$B$1:$AL$47,ROW(),FALSE)=0,"NA",HLOOKUP(O$1,集計加工用!$B$1:$AL$47,ROW(),FALSE))</f>
        <v>96.7</v>
      </c>
      <c r="P8">
        <f>IF(HLOOKUP(P$1,集計加工用!$B$1:$AL$47,ROW(),FALSE)=0,"NA",HLOOKUP(P$1,集計加工用!$B$1:$AL$47,ROW(),FALSE))</f>
        <v>1.9694166666666699</v>
      </c>
      <c r="Q8">
        <f>IF(HLOOKUP(Q$1,集計加工用!$B$1:$AL$47,ROW(),FALSE)=0,"NA",HLOOKUP(Q$1,集計加工用!$B$1:$AL$47,ROW(),FALSE))</f>
        <v>1.3308491861149248</v>
      </c>
    </row>
    <row r="9" spans="1:17" x14ac:dyDescent="0.25">
      <c r="A9">
        <v>2002</v>
      </c>
      <c r="B9">
        <f>IF(HLOOKUP(B$1,集計加工用!$B$1:$AL$47,ROW(),FALSE)=0,"NA",HLOOKUP(B$1,集計加工用!$B$1:$AL$47,ROW(),FALSE))</f>
        <v>532390.80000000005</v>
      </c>
      <c r="C9">
        <f>IF(HLOOKUP(C$1,集計加工用!$B$1:$AL$47,ROW(),FALSE)=0,"NA",HLOOKUP(C$1,集計加工用!$B$1:$AL$47,ROW(),FALSE))</f>
        <v>287665.90000000002</v>
      </c>
      <c r="D9">
        <f>IF(HLOOKUP(D$1,集計加工用!$B$1:$AL$47,ROW(),FALSE)=0,"NA",HLOOKUP(D$1,集計加工用!$B$1:$AL$47,ROW(),FALSE))</f>
        <v>108975.2</v>
      </c>
      <c r="E9">
        <f>IF(HLOOKUP(E$1,集計加工用!$B$1:$AL$47,ROW(),FALSE)=0,"NA",HLOOKUP(E$1,集計加工用!$B$1:$AL$47,ROW(),FALSE))</f>
        <v>129121.4</v>
      </c>
      <c r="F9">
        <f>IF(HLOOKUP(F$1,集計加工用!$B$1:$AL$47,ROW(),FALSE)=0,"NA",HLOOKUP(F$1,集計加工用!$B$1:$AL$47,ROW(),FALSE))</f>
        <v>124845.70000000007</v>
      </c>
      <c r="G9">
        <f>IF(HLOOKUP(G$1,集計加工用!$B$1:$AL$47,ROW(),FALSE)=0,"NA",HLOOKUP(G$1,集計加工用!$B$1:$AL$47,ROW(),FALSE))</f>
        <v>106</v>
      </c>
      <c r="H9">
        <f>IF(HLOOKUP(H$1,集計加工用!$B$1:$AL$47,ROW(),FALSE)=0,"NA",HLOOKUP(H$1,集計加工用!$B$1:$AL$47,ROW(),FALSE))</f>
        <v>102.2</v>
      </c>
      <c r="I9">
        <f>IF(HLOOKUP(I$1,集計加工用!$B$1:$AL$47,ROW(),FALSE)=0,"NA",HLOOKUP(I$1,集計加工用!$B$1:$AL$47,ROW(),FALSE))</f>
        <v>109384</v>
      </c>
      <c r="J9">
        <f>IF(HLOOKUP(J$1,集計加工用!$B$1:$AL$47,ROW(),FALSE)=0,"NA",HLOOKUP(J$1,集計加工用!$B$1:$AL$47,ROW(),FALSE))</f>
        <v>6689</v>
      </c>
      <c r="K9">
        <f>IF(HLOOKUP(K$1,集計加工用!$B$1:$AL$47,ROW(),FALSE)=0,"NA",HLOOKUP(K$1,集計加工用!$B$1:$AL$47,ROW(),FALSE))</f>
        <v>6330</v>
      </c>
      <c r="L9">
        <f>IF(HLOOKUP(L$1,集計加工用!$B$1:$AL$47,ROW(),FALSE)=0,"NA",HLOOKUP(L$1,集計加工用!$B$1:$AL$47,ROW(),FALSE))</f>
        <v>359</v>
      </c>
      <c r="M9">
        <f>IF(HLOOKUP(M$1,集計加工用!$B$1:$AL$47,ROW(),FALSE)=0,"NA",HLOOKUP(M$1,集計加工用!$B$1:$AL$47,ROW(),FALSE))</f>
        <v>93.49376114081997</v>
      </c>
      <c r="N9">
        <f>IF(HLOOKUP(N$1,集計加工用!$B$1:$AL$47,ROW(),FALSE)=0,"NA",HLOOKUP(N$1,集計加工用!$B$1:$AL$47,ROW(),FALSE))</f>
        <v>112.2</v>
      </c>
      <c r="O9">
        <f>IF(HLOOKUP(O$1,集計加工用!$B$1:$AL$47,ROW(),FALSE)=0,"NA",HLOOKUP(O$1,集計加工用!$B$1:$AL$47,ROW(),FALSE))</f>
        <v>95.8</v>
      </c>
      <c r="P9">
        <f>IF(HLOOKUP(P$1,集計加工用!$B$1:$AL$47,ROW(),FALSE)=0,"NA",HLOOKUP(P$1,集計加工用!$B$1:$AL$47,ROW(),FALSE))</f>
        <v>1.8649166666666701</v>
      </c>
      <c r="Q9">
        <f>IF(HLOOKUP(Q$1,集計加工用!$B$1:$AL$47,ROW(),FALSE)=0,"NA",HLOOKUP(Q$1,集計加工用!$B$1:$AL$47,ROW(),FALSE))</f>
        <v>1.2982595723520591</v>
      </c>
    </row>
    <row r="10" spans="1:17" x14ac:dyDescent="0.25">
      <c r="A10">
        <v>2003</v>
      </c>
      <c r="B10">
        <f>IF(HLOOKUP(B$1,集計加工用!$B$1:$AL$47,ROW(),FALSE)=0,"NA",HLOOKUP(B$1,集計加工用!$B$1:$AL$47,ROW(),FALSE))</f>
        <v>530211.80000000005</v>
      </c>
      <c r="C10">
        <f>IF(HLOOKUP(C$1,集計加工用!$B$1:$AL$47,ROW(),FALSE)=0,"NA",HLOOKUP(C$1,集計加工用!$B$1:$AL$47,ROW(),FALSE))</f>
        <v>286411.7</v>
      </c>
      <c r="D10">
        <f>IF(HLOOKUP(D$1,集計加工用!$B$1:$AL$47,ROW(),FALSE)=0,"NA",HLOOKUP(D$1,集計加工用!$B$1:$AL$47,ROW(),FALSE))</f>
        <v>108871</v>
      </c>
      <c r="E10">
        <f>IF(HLOOKUP(E$1,集計加工用!$B$1:$AL$47,ROW(),FALSE)=0,"NA",HLOOKUP(E$1,集計加工用!$B$1:$AL$47,ROW(),FALSE))</f>
        <v>126516.90000000001</v>
      </c>
      <c r="F10">
        <f>IF(HLOOKUP(F$1,集計加工用!$B$1:$AL$47,ROW(),FALSE)=0,"NA",HLOOKUP(F$1,集計加工用!$B$1:$AL$47,ROW(),FALSE))</f>
        <v>117683.00000000006</v>
      </c>
      <c r="G10">
        <f>IF(HLOOKUP(G$1,集計加工用!$B$1:$AL$47,ROW(),FALSE)=0,"NA",HLOOKUP(G$1,集計加工用!$B$1:$AL$47,ROW(),FALSE))</f>
        <v>104.1</v>
      </c>
      <c r="H10">
        <f>IF(HLOOKUP(H$1,集計加工用!$B$1:$AL$47,ROW(),FALSE)=0,"NA",HLOOKUP(H$1,集計加工用!$B$1:$AL$47,ROW(),FALSE))</f>
        <v>101.1</v>
      </c>
      <c r="I10">
        <f>IF(HLOOKUP(I$1,集計加工用!$B$1:$AL$47,ROW(),FALSE)=0,"NA",HLOOKUP(I$1,集計加工用!$B$1:$AL$47,ROW(),FALSE))</f>
        <v>109789</v>
      </c>
      <c r="J10">
        <f>IF(HLOOKUP(J$1,集計加工用!$B$1:$AL$47,ROW(),FALSE)=0,"NA",HLOOKUP(J$1,集計加工用!$B$1:$AL$47,ROW(),FALSE))</f>
        <v>6666</v>
      </c>
      <c r="K10">
        <f>IF(HLOOKUP(K$1,集計加工用!$B$1:$AL$47,ROW(),FALSE)=0,"NA",HLOOKUP(K$1,集計加工用!$B$1:$AL$47,ROW(),FALSE))</f>
        <v>6316</v>
      </c>
      <c r="L10">
        <f>IF(HLOOKUP(L$1,集計加工用!$B$1:$AL$47,ROW(),FALSE)=0,"NA",HLOOKUP(L$1,集計加工用!$B$1:$AL$47,ROW(),FALSE))</f>
        <v>350</v>
      </c>
      <c r="M10">
        <f>IF(HLOOKUP(M$1,集計加工用!$B$1:$AL$47,ROW(),FALSE)=0,"NA",HLOOKUP(M$1,集計加工用!$B$1:$AL$47,ROW(),FALSE))</f>
        <v>92.780748663101605</v>
      </c>
      <c r="N10">
        <f>IF(HLOOKUP(N$1,集計加工用!$B$1:$AL$47,ROW(),FALSE)=0,"NA",HLOOKUP(N$1,集計加工用!$B$1:$AL$47,ROW(),FALSE))</f>
        <v>112.2</v>
      </c>
      <c r="O10">
        <f>IF(HLOOKUP(O$1,集計加工用!$B$1:$AL$47,ROW(),FALSE)=0,"NA",HLOOKUP(O$1,集計加工用!$B$1:$AL$47,ROW(),FALSE))</f>
        <v>95.5</v>
      </c>
      <c r="P10">
        <f>IF(HLOOKUP(P$1,集計加工用!$B$1:$AL$47,ROW(),FALSE)=0,"NA",HLOOKUP(P$1,集計加工用!$B$1:$AL$47,ROW(),FALSE))</f>
        <v>1.8220833333333299</v>
      </c>
      <c r="Q10">
        <f>IF(HLOOKUP(Q$1,集計加工用!$B$1:$AL$47,ROW(),FALSE)=0,"NA",HLOOKUP(Q$1,集計加工用!$B$1:$AL$47,ROW(),FALSE))</f>
        <v>1.2955047160345214</v>
      </c>
    </row>
    <row r="11" spans="1:17" x14ac:dyDescent="0.25">
      <c r="A11">
        <v>2004</v>
      </c>
      <c r="B11">
        <f>IF(HLOOKUP(B$1,集計加工用!$B$1:$AL$47,ROW(),FALSE)=0,"NA",HLOOKUP(B$1,集計加工用!$B$1:$AL$47,ROW(),FALSE))</f>
        <v>534634.1</v>
      </c>
      <c r="C11">
        <f>IF(HLOOKUP(C$1,集計加工用!$B$1:$AL$47,ROW(),FALSE)=0,"NA",HLOOKUP(C$1,集計加工用!$B$1:$AL$47,ROW(),FALSE))</f>
        <v>288414.09999999998</v>
      </c>
      <c r="D11">
        <f>IF(HLOOKUP(D$1,集計加工用!$B$1:$AL$47,ROW(),FALSE)=0,"NA",HLOOKUP(D$1,集計加工用!$B$1:$AL$47,ROW(),FALSE))</f>
        <v>112132.40000000001</v>
      </c>
      <c r="E11">
        <f>IF(HLOOKUP(E$1,集計加工用!$B$1:$AL$47,ROW(),FALSE)=0,"NA",HLOOKUP(E$1,集計加工用!$B$1:$AL$47,ROW(),FALSE))</f>
        <v>123987.4</v>
      </c>
      <c r="F11">
        <f>IF(HLOOKUP(F$1,集計加工用!$B$1:$AL$47,ROW(),FALSE)=0,"NA",HLOOKUP(F$1,集計加工用!$B$1:$AL$47,ROW(),FALSE))</f>
        <v>115591.59999999998</v>
      </c>
      <c r="G11">
        <f>IF(HLOOKUP(G$1,集計加工用!$B$1:$AL$47,ROW(),FALSE)=0,"NA",HLOOKUP(G$1,集計加工用!$B$1:$AL$47,ROW(),FALSE))</f>
        <v>102.8</v>
      </c>
      <c r="H11">
        <f>IF(HLOOKUP(H$1,集計加工用!$B$1:$AL$47,ROW(),FALSE)=0,"NA",HLOOKUP(H$1,集計加工用!$B$1:$AL$47,ROW(),FALSE))</f>
        <v>100.6</v>
      </c>
      <c r="I11">
        <f>IF(HLOOKUP(I$1,集計加工用!$B$1:$AL$47,ROW(),FALSE)=0,"NA",HLOOKUP(I$1,集計加工用!$B$1:$AL$47,ROW(),FALSE))</f>
        <v>110053</v>
      </c>
      <c r="J11">
        <f>IF(HLOOKUP(J$1,集計加工用!$B$1:$AL$47,ROW(),FALSE)=0,"NA",HLOOKUP(J$1,集計加工用!$B$1:$AL$47,ROW(),FALSE))</f>
        <v>6642</v>
      </c>
      <c r="K11">
        <f>IF(HLOOKUP(K$1,集計加工用!$B$1:$AL$47,ROW(),FALSE)=0,"NA",HLOOKUP(K$1,集計加工用!$B$1:$AL$47,ROW(),FALSE))</f>
        <v>6329</v>
      </c>
      <c r="L11">
        <f>IF(HLOOKUP(L$1,集計加工用!$B$1:$AL$47,ROW(),FALSE)=0,"NA",HLOOKUP(L$1,集計加工用!$B$1:$AL$47,ROW(),FALSE))</f>
        <v>313</v>
      </c>
      <c r="M11">
        <f>IF(HLOOKUP(M$1,集計加工用!$B$1:$AL$47,ROW(),FALSE)=0,"NA",HLOOKUP(M$1,集計加工用!$B$1:$AL$47,ROW(),FALSE))</f>
        <v>92.170818505338076</v>
      </c>
      <c r="N11">
        <f>IF(HLOOKUP(N$1,集計加工用!$B$1:$AL$47,ROW(),FALSE)=0,"NA",HLOOKUP(N$1,集計加工用!$B$1:$AL$47,ROW(),FALSE))</f>
        <v>112.4</v>
      </c>
      <c r="O11">
        <f>IF(HLOOKUP(O$1,集計加工用!$B$1:$AL$47,ROW(),FALSE)=0,"NA",HLOOKUP(O$1,集計加工用!$B$1:$AL$47,ROW(),FALSE))</f>
        <v>95.5</v>
      </c>
      <c r="P11">
        <f>IF(HLOOKUP(P$1,集計加工用!$B$1:$AL$47,ROW(),FALSE)=0,"NA",HLOOKUP(P$1,集計加工用!$B$1:$AL$47,ROW(),FALSE))</f>
        <v>1.7665833333333301</v>
      </c>
      <c r="Q11">
        <f>IF(HLOOKUP(Q$1,集計加工用!$B$1:$AL$47,ROW(),FALSE)=0,"NA",HLOOKUP(Q$1,集計加工用!$B$1:$AL$47,ROW(),FALSE))</f>
        <v>1.2689973995954926</v>
      </c>
    </row>
    <row r="12" spans="1:17" x14ac:dyDescent="0.25">
      <c r="A12">
        <v>2005</v>
      </c>
      <c r="B12">
        <f>IF(HLOOKUP(B$1,集計加工用!$B$1:$AL$47,ROW(),FALSE)=0,"NA",HLOOKUP(B$1,集計加工用!$B$1:$AL$47,ROW(),FALSE))</f>
        <v>537385.19999999995</v>
      </c>
      <c r="C12">
        <f>IF(HLOOKUP(C$1,集計加工用!$B$1:$AL$47,ROW(),FALSE)=0,"NA",HLOOKUP(C$1,集計加工用!$B$1:$AL$47,ROW(),FALSE))</f>
        <v>290679.3</v>
      </c>
      <c r="D12">
        <f>IF(HLOOKUP(D$1,集計加工用!$B$1:$AL$47,ROW(),FALSE)=0,"NA",HLOOKUP(D$1,集計加工用!$B$1:$AL$47,ROW(),FALSE))</f>
        <v>116899.59999999999</v>
      </c>
      <c r="E12">
        <f>IF(HLOOKUP(E$1,集計加工用!$B$1:$AL$47,ROW(),FALSE)=0,"NA",HLOOKUP(E$1,集計加工用!$B$1:$AL$47,ROW(),FALSE))</f>
        <v>122348.6</v>
      </c>
      <c r="F12">
        <f>IF(HLOOKUP(F$1,集計加工用!$B$1:$AL$47,ROW(),FALSE)=0,"NA",HLOOKUP(F$1,集計加工用!$B$1:$AL$47,ROW(),FALSE))</f>
        <v>119292.19999999995</v>
      </c>
      <c r="G12">
        <f>IF(HLOOKUP(G$1,集計加工用!$B$1:$AL$47,ROW(),FALSE)=0,"NA",HLOOKUP(G$1,集計加工用!$B$1:$AL$47,ROW(),FALSE))</f>
        <v>101.5</v>
      </c>
      <c r="H12">
        <f>IF(HLOOKUP(H$1,集計加工用!$B$1:$AL$47,ROW(),FALSE)=0,"NA",HLOOKUP(H$1,集計加工用!$B$1:$AL$47,ROW(),FALSE))</f>
        <v>99.7</v>
      </c>
      <c r="I12">
        <f>IF(HLOOKUP(I$1,集計加工用!$B$1:$AL$47,ROW(),FALSE)=0,"NA",HLOOKUP(I$1,集計加工用!$B$1:$AL$47,ROW(),FALSE))</f>
        <v>110247</v>
      </c>
      <c r="J12">
        <f>IF(HLOOKUP(J$1,集計加工用!$B$1:$AL$47,ROW(),FALSE)=0,"NA",HLOOKUP(J$1,集計加工用!$B$1:$AL$47,ROW(),FALSE))</f>
        <v>6651</v>
      </c>
      <c r="K12">
        <f>IF(HLOOKUP(K$1,集計加工用!$B$1:$AL$47,ROW(),FALSE)=0,"NA",HLOOKUP(K$1,集計加工用!$B$1:$AL$47,ROW(),FALSE))</f>
        <v>6356</v>
      </c>
      <c r="L12">
        <f>IF(HLOOKUP(L$1,集計加工用!$B$1:$AL$47,ROW(),FALSE)=0,"NA",HLOOKUP(L$1,集計加工用!$B$1:$AL$47,ROW(),FALSE))</f>
        <v>294</v>
      </c>
      <c r="M12">
        <f>IF(HLOOKUP(M$1,集計加工用!$B$1:$AL$47,ROW(),FALSE)=0,"NA",HLOOKUP(M$1,集計加工用!$B$1:$AL$47,ROW(),FALSE))</f>
        <v>93.375111906893466</v>
      </c>
      <c r="N12">
        <f>IF(HLOOKUP(N$1,集計加工用!$B$1:$AL$47,ROW(),FALSE)=0,"NA",HLOOKUP(N$1,集計加工用!$B$1:$AL$47,ROW(),FALSE))</f>
        <v>111.7</v>
      </c>
      <c r="O12">
        <f>IF(HLOOKUP(O$1,集計加工用!$B$1:$AL$47,ROW(),FALSE)=0,"NA",HLOOKUP(O$1,集計加工用!$B$1:$AL$47,ROW(),FALSE))</f>
        <v>95.2</v>
      </c>
      <c r="P12">
        <f>IF(HLOOKUP(P$1,集計加工用!$B$1:$AL$47,ROW(),FALSE)=0,"NA",HLOOKUP(P$1,集計加工用!$B$1:$AL$47,ROW(),FALSE))</f>
        <v>1.6769166666666699</v>
      </c>
      <c r="Q12">
        <f>IF(HLOOKUP(Q$1,集計加工用!$B$1:$AL$47,ROW(),FALSE)=0,"NA",HLOOKUP(Q$1,集計加工用!$B$1:$AL$47,ROW(),FALSE))</f>
        <v>1.1309939528149184</v>
      </c>
    </row>
    <row r="13" spans="1:17" x14ac:dyDescent="0.25">
      <c r="A13">
        <v>2006</v>
      </c>
      <c r="B13">
        <f>IF(HLOOKUP(B$1,集計加工用!$B$1:$AL$47,ROW(),FALSE)=0,"NA",HLOOKUP(B$1,集計加工用!$B$1:$AL$47,ROW(),FALSE))</f>
        <v>540566</v>
      </c>
      <c r="C13">
        <f>IF(HLOOKUP(C$1,集計加工用!$B$1:$AL$47,ROW(),FALSE)=0,"NA",HLOOKUP(C$1,集計加工用!$B$1:$AL$47,ROW(),FALSE))</f>
        <v>293508.59999999998</v>
      </c>
      <c r="D13">
        <f>IF(HLOOKUP(D$1,集計加工用!$B$1:$AL$47,ROW(),FALSE)=0,"NA",HLOOKUP(D$1,集計加工用!$B$1:$AL$47,ROW(),FALSE))</f>
        <v>119256.30000000002</v>
      </c>
      <c r="E13">
        <f>IF(HLOOKUP(E$1,集計加工用!$B$1:$AL$47,ROW(),FALSE)=0,"NA",HLOOKUP(E$1,集計加工用!$B$1:$AL$47,ROW(),FALSE))</f>
        <v>120862.90000000001</v>
      </c>
      <c r="F13">
        <f>IF(HLOOKUP(F$1,集計加工用!$B$1:$AL$47,ROW(),FALSE)=0,"NA",HLOOKUP(F$1,集計加工用!$B$1:$AL$47,ROW(),FALSE))</f>
        <v>115174.40000000002</v>
      </c>
      <c r="G13">
        <f>IF(HLOOKUP(G$1,集計加工用!$B$1:$AL$47,ROW(),FALSE)=0,"NA",HLOOKUP(G$1,集計加工用!$B$1:$AL$47,ROW(),FALSE))</f>
        <v>100.5</v>
      </c>
      <c r="H13">
        <f>IF(HLOOKUP(H$1,集計加工用!$B$1:$AL$47,ROW(),FALSE)=0,"NA",HLOOKUP(H$1,集計加工用!$B$1:$AL$47,ROW(),FALSE))</f>
        <v>99.7</v>
      </c>
      <c r="I13">
        <f>IF(HLOOKUP(I$1,集計加工用!$B$1:$AL$47,ROW(),FALSE)=0,"NA",HLOOKUP(I$1,集計加工用!$B$1:$AL$47,ROW(),FALSE))</f>
        <v>110466</v>
      </c>
      <c r="J13">
        <f>IF(HLOOKUP(J$1,集計加工用!$B$1:$AL$47,ROW(),FALSE)=0,"NA",HLOOKUP(J$1,集計加工用!$B$1:$AL$47,ROW(),FALSE))</f>
        <v>6664</v>
      </c>
      <c r="K13">
        <f>IF(HLOOKUP(K$1,集計加工用!$B$1:$AL$47,ROW(),FALSE)=0,"NA",HLOOKUP(K$1,集計加工用!$B$1:$AL$47,ROW(),FALSE))</f>
        <v>6389</v>
      </c>
      <c r="L13">
        <f>IF(HLOOKUP(L$1,集計加工用!$B$1:$AL$47,ROW(),FALSE)=0,"NA",HLOOKUP(L$1,集計加工用!$B$1:$AL$47,ROW(),FALSE))</f>
        <v>275</v>
      </c>
      <c r="M13">
        <f>IF(HLOOKUP(M$1,集計加工用!$B$1:$AL$47,ROW(),FALSE)=0,"NA",HLOOKUP(M$1,集計加工用!$B$1:$AL$47,ROW(),FALSE))</f>
        <v>93.137254901960787</v>
      </c>
      <c r="N13">
        <f>IF(HLOOKUP(N$1,集計加工用!$B$1:$AL$47,ROW(),FALSE)=0,"NA",HLOOKUP(N$1,集計加工用!$B$1:$AL$47,ROW(),FALSE))</f>
        <v>112.2</v>
      </c>
      <c r="O13">
        <f>IF(HLOOKUP(O$1,集計加工用!$B$1:$AL$47,ROW(),FALSE)=0,"NA",HLOOKUP(O$1,集計加工用!$B$1:$AL$47,ROW(),FALSE))</f>
        <v>95.5</v>
      </c>
      <c r="P13">
        <f>IF(HLOOKUP(P$1,集計加工用!$B$1:$AL$47,ROW(),FALSE)=0,"NA",HLOOKUP(P$1,集計加工用!$B$1:$AL$47,ROW(),FALSE))</f>
        <v>1.6648333333333301</v>
      </c>
      <c r="Q13">
        <f>IF(HLOOKUP(Q$1,集計加工用!$B$1:$AL$47,ROW(),FALSE)=0,"NA",HLOOKUP(Q$1,集計加工用!$B$1:$AL$47,ROW(),FALSE))</f>
        <v>0.98504561088679232</v>
      </c>
    </row>
    <row r="14" spans="1:17" x14ac:dyDescent="0.25">
      <c r="A14">
        <v>2007</v>
      </c>
      <c r="B14">
        <f>IF(HLOOKUP(B$1,集計加工用!$B$1:$AL$47,ROW(),FALSE)=0,"NA",HLOOKUP(B$1,集計加工用!$B$1:$AL$47,ROW(),FALSE))</f>
        <v>544571.1</v>
      </c>
      <c r="C14">
        <f>IF(HLOOKUP(C$1,集計加工用!$B$1:$AL$47,ROW(),FALSE)=0,"NA",HLOOKUP(C$1,集計加工用!$B$1:$AL$47,ROW(),FALSE))</f>
        <v>294745.09999999998</v>
      </c>
      <c r="D14">
        <f>IF(HLOOKUP(D$1,集計加工用!$B$1:$AL$47,ROW(),FALSE)=0,"NA",HLOOKUP(D$1,集計加工用!$B$1:$AL$47,ROW(),FALSE))</f>
        <v>119838.3</v>
      </c>
      <c r="E14">
        <f>IF(HLOOKUP(E$1,集計加工用!$B$1:$AL$47,ROW(),FALSE)=0,"NA",HLOOKUP(E$1,集計加工用!$B$1:$AL$47,ROW(),FALSE))</f>
        <v>120498.79999999999</v>
      </c>
      <c r="F14">
        <f>IF(HLOOKUP(F$1,集計加工用!$B$1:$AL$47,ROW(),FALSE)=0,"NA",HLOOKUP(F$1,集計加工用!$B$1:$AL$47,ROW(),FALSE))</f>
        <v>118188.5</v>
      </c>
      <c r="G14">
        <f>IF(HLOOKUP(G$1,集計加工用!$B$1:$AL$47,ROW(),FALSE)=0,"NA",HLOOKUP(G$1,集計加工用!$B$1:$AL$47,ROW(),FALSE))</f>
        <v>99.5</v>
      </c>
      <c r="H14">
        <f>IF(HLOOKUP(H$1,集計加工用!$B$1:$AL$47,ROW(),FALSE)=0,"NA",HLOOKUP(H$1,集計加工用!$B$1:$AL$47,ROW(),FALSE))</f>
        <v>99.3</v>
      </c>
      <c r="I14">
        <f>IF(HLOOKUP(I$1,集計加工用!$B$1:$AL$47,ROW(),FALSE)=0,"NA",HLOOKUP(I$1,集計加工用!$B$1:$AL$47,ROW(),FALSE))</f>
        <v>110740</v>
      </c>
      <c r="J14">
        <f>IF(HLOOKUP(J$1,集計加工用!$B$1:$AL$47,ROW(),FALSE)=0,"NA",HLOOKUP(J$1,集計加工用!$B$1:$AL$47,ROW(),FALSE))</f>
        <v>6684</v>
      </c>
      <c r="K14">
        <f>IF(HLOOKUP(K$1,集計加工用!$B$1:$AL$47,ROW(),FALSE)=0,"NA",HLOOKUP(K$1,集計加工用!$B$1:$AL$47,ROW(),FALSE))</f>
        <v>6427</v>
      </c>
      <c r="L14">
        <f>IF(HLOOKUP(L$1,集計加工用!$B$1:$AL$47,ROW(),FALSE)=0,"NA",HLOOKUP(L$1,集計加工用!$B$1:$AL$47,ROW(),FALSE))</f>
        <v>257</v>
      </c>
      <c r="M14">
        <f>IF(HLOOKUP(M$1,集計加工用!$B$1:$AL$47,ROW(),FALSE)=0,"NA",HLOOKUP(M$1,集計加工用!$B$1:$AL$47,ROW(),FALSE))</f>
        <v>92.908438061041281</v>
      </c>
      <c r="N14">
        <f>IF(HLOOKUP(N$1,集計加工用!$B$1:$AL$47,ROW(),FALSE)=0,"NA",HLOOKUP(N$1,集計加工用!$B$1:$AL$47,ROW(),FALSE))</f>
        <v>111.4</v>
      </c>
      <c r="O14">
        <f>IF(HLOOKUP(O$1,集計加工用!$B$1:$AL$47,ROW(),FALSE)=0,"NA",HLOOKUP(O$1,集計加工用!$B$1:$AL$47,ROW(),FALSE))</f>
        <v>95.5</v>
      </c>
      <c r="P14">
        <f>IF(HLOOKUP(P$1,集計加工用!$B$1:$AL$47,ROW(),FALSE)=0,"NA",HLOOKUP(P$1,集計加工用!$B$1:$AL$47,ROW(),FALSE))</f>
        <v>1.8832500000000001</v>
      </c>
      <c r="Q14">
        <f>IF(HLOOKUP(Q$1,集計加工用!$B$1:$AL$47,ROW(),FALSE)=0,"NA",HLOOKUP(Q$1,集計加工用!$B$1:$AL$47,ROW(),FALSE))</f>
        <v>0.91822543633961506</v>
      </c>
    </row>
    <row r="15" spans="1:17" x14ac:dyDescent="0.25">
      <c r="A15">
        <v>2008</v>
      </c>
      <c r="B15">
        <f>IF(HLOOKUP(B$1,集計加工用!$B$1:$AL$47,ROW(),FALSE)=0,"NA",HLOOKUP(B$1,集計加工用!$B$1:$AL$47,ROW(),FALSE))</f>
        <v>533355.4</v>
      </c>
      <c r="C15">
        <f>IF(HLOOKUP(C$1,集計加工用!$B$1:$AL$47,ROW(),FALSE)=0,"NA",HLOOKUP(C$1,集計加工用!$B$1:$AL$47,ROW(),FALSE))</f>
        <v>293475.40000000002</v>
      </c>
      <c r="D15">
        <f>IF(HLOOKUP(D$1,集計加工用!$B$1:$AL$47,ROW(),FALSE)=0,"NA",HLOOKUP(D$1,集計加工用!$B$1:$AL$47,ROW(),FALSE))</f>
        <v>118293.79999999999</v>
      </c>
      <c r="E15">
        <f>IF(HLOOKUP(E$1,集計加工用!$B$1:$AL$47,ROW(),FALSE)=0,"NA",HLOOKUP(E$1,集計加工用!$B$1:$AL$47,ROW(),FALSE))</f>
        <v>119792.19999999998</v>
      </c>
      <c r="F15">
        <f>IF(HLOOKUP(F$1,集計加工用!$B$1:$AL$47,ROW(),FALSE)=0,"NA",HLOOKUP(F$1,集計加工用!$B$1:$AL$47,ROW(),FALSE))</f>
        <v>139816.80000000005</v>
      </c>
      <c r="G15">
        <f>IF(HLOOKUP(G$1,集計加工用!$B$1:$AL$47,ROW(),FALSE)=0,"NA",HLOOKUP(G$1,集計加工用!$B$1:$AL$47,ROW(),FALSE))</f>
        <v>98.6</v>
      </c>
      <c r="H15">
        <f>IF(HLOOKUP(H$1,集計加工用!$B$1:$AL$47,ROW(),FALSE)=0,"NA",HLOOKUP(H$1,集計加工用!$B$1:$AL$47,ROW(),FALSE))</f>
        <v>100</v>
      </c>
      <c r="I15">
        <f>IF(HLOOKUP(I$1,集計加工用!$B$1:$AL$47,ROW(),FALSE)=0,"NA",HLOOKUP(I$1,集計加工用!$B$1:$AL$47,ROW(),FALSE))</f>
        <v>110908</v>
      </c>
      <c r="J15">
        <f>IF(HLOOKUP(J$1,集計加工用!$B$1:$AL$47,ROW(),FALSE)=0,"NA",HLOOKUP(J$1,集計加工用!$B$1:$AL$47,ROW(),FALSE))</f>
        <v>6674</v>
      </c>
      <c r="K15">
        <f>IF(HLOOKUP(K$1,集計加工用!$B$1:$AL$47,ROW(),FALSE)=0,"NA",HLOOKUP(K$1,集計加工用!$B$1:$AL$47,ROW(),FALSE))</f>
        <v>6409</v>
      </c>
      <c r="L15">
        <f>IF(HLOOKUP(L$1,集計加工用!$B$1:$AL$47,ROW(),FALSE)=0,"NA",HLOOKUP(L$1,集計加工用!$B$1:$AL$47,ROW(),FALSE))</f>
        <v>265</v>
      </c>
      <c r="M15">
        <f>IF(HLOOKUP(M$1,集計加工用!$B$1:$AL$47,ROW(),FALSE)=0,"NA",HLOOKUP(M$1,集計加工用!$B$1:$AL$47,ROW(),FALSE))</f>
        <v>93.738656987295826</v>
      </c>
      <c r="N15">
        <f>IF(HLOOKUP(N$1,集計加工用!$B$1:$AL$47,ROW(),FALSE)=0,"NA",HLOOKUP(N$1,集計加工用!$B$1:$AL$47,ROW(),FALSE))</f>
        <v>110.2</v>
      </c>
      <c r="O15">
        <f>IF(HLOOKUP(O$1,集計加工用!$B$1:$AL$47,ROW(),FALSE)=0,"NA",HLOOKUP(O$1,集計加工用!$B$1:$AL$47,ROW(),FALSE))</f>
        <v>96.8</v>
      </c>
      <c r="P15">
        <f>IF(HLOOKUP(P$1,集計加工用!$B$1:$AL$47,ROW(),FALSE)=0,"NA",HLOOKUP(P$1,集計加工用!$B$1:$AL$47,ROW(),FALSE))</f>
        <v>1.9095</v>
      </c>
      <c r="Q15">
        <f>IF(HLOOKUP(Q$1,集計加工用!$B$1:$AL$47,ROW(),FALSE)=0,"NA",HLOOKUP(Q$1,集計加工用!$B$1:$AL$47,ROW(),FALSE))</f>
        <v>0.86304264310411061</v>
      </c>
    </row>
    <row r="16" spans="1:17" x14ac:dyDescent="0.25">
      <c r="A16">
        <v>2009</v>
      </c>
      <c r="B16">
        <f>IF(HLOOKUP(B$1,集計加工用!$B$1:$AL$47,ROW(),FALSE)=0,"NA",HLOOKUP(B$1,集計加工用!$B$1:$AL$47,ROW(),FALSE))</f>
        <v>499361.7</v>
      </c>
      <c r="C16">
        <f>IF(HLOOKUP(C$1,集計加工用!$B$1:$AL$47,ROW(),FALSE)=0,"NA",HLOOKUP(C$1,集計加工用!$B$1:$AL$47,ROW(),FALSE))</f>
        <v>283897.2</v>
      </c>
      <c r="D16">
        <f>IF(HLOOKUP(D$1,集計加工用!$B$1:$AL$47,ROW(),FALSE)=0,"NA",HLOOKUP(D$1,集計加工用!$B$1:$AL$47,ROW(),FALSE))</f>
        <v>91724.6</v>
      </c>
      <c r="E16">
        <f>IF(HLOOKUP(E$1,集計加工用!$B$1:$AL$47,ROW(),FALSE)=0,"NA",HLOOKUP(E$1,集計加工用!$B$1:$AL$47,ROW(),FALSE))</f>
        <v>121523.2</v>
      </c>
      <c r="F16">
        <f>IF(HLOOKUP(F$1,集計加工用!$B$1:$AL$47,ROW(),FALSE)=0,"NA",HLOOKUP(F$1,集計加工用!$B$1:$AL$47,ROW(),FALSE))</f>
        <v>118820.79999999999</v>
      </c>
      <c r="G16">
        <f>IF(HLOOKUP(G$1,集計加工用!$B$1:$AL$47,ROW(),FALSE)=0,"NA",HLOOKUP(G$1,集計加工用!$B$1:$AL$47,ROW(),FALSE))</f>
        <v>98.2</v>
      </c>
      <c r="H16">
        <f>IF(HLOOKUP(H$1,集計加工用!$B$1:$AL$47,ROW(),FALSE)=0,"NA",HLOOKUP(H$1,集計加工用!$B$1:$AL$47,ROW(),FALSE))</f>
        <v>97.6</v>
      </c>
      <c r="I16">
        <f>IF(HLOOKUP(I$1,集計加工用!$B$1:$AL$47,ROW(),FALSE)=0,"NA",HLOOKUP(I$1,集計加工用!$B$1:$AL$47,ROW(),FALSE))</f>
        <v>111021</v>
      </c>
      <c r="J16">
        <f>IF(HLOOKUP(J$1,集計加工用!$B$1:$AL$47,ROW(),FALSE)=0,"NA",HLOOKUP(J$1,集計加工用!$B$1:$AL$47,ROW(),FALSE))</f>
        <v>6650</v>
      </c>
      <c r="K16">
        <f>IF(HLOOKUP(K$1,集計加工用!$B$1:$AL$47,ROW(),FALSE)=0,"NA",HLOOKUP(K$1,集計加工用!$B$1:$AL$47,ROW(),FALSE))</f>
        <v>6314</v>
      </c>
      <c r="L16">
        <f>IF(HLOOKUP(L$1,集計加工用!$B$1:$AL$47,ROW(),FALSE)=0,"NA",HLOOKUP(L$1,集計加工用!$B$1:$AL$47,ROW(),FALSE))</f>
        <v>336</v>
      </c>
      <c r="M16">
        <f>IF(HLOOKUP(M$1,集計加工用!$B$1:$AL$47,ROW(),FALSE)=0,"NA",HLOOKUP(M$1,集計加工用!$B$1:$AL$47,ROW(),FALSE))</f>
        <v>92.803738317757009</v>
      </c>
      <c r="N16">
        <f>IF(HLOOKUP(N$1,集計加工用!$B$1:$AL$47,ROW(),FALSE)=0,"NA",HLOOKUP(N$1,集計加工用!$B$1:$AL$47,ROW(),FALSE))</f>
        <v>107</v>
      </c>
      <c r="O16">
        <f>IF(HLOOKUP(O$1,集計加工用!$B$1:$AL$47,ROW(),FALSE)=0,"NA",HLOOKUP(O$1,集計加工用!$B$1:$AL$47,ROW(),FALSE))</f>
        <v>95.5</v>
      </c>
      <c r="P16">
        <f>IF(HLOOKUP(P$1,集計加工用!$B$1:$AL$47,ROW(),FALSE)=0,"NA",HLOOKUP(P$1,集計加工用!$B$1:$AL$47,ROW(),FALSE))</f>
        <v>1.7233333333333301</v>
      </c>
      <c r="Q16">
        <f>IF(HLOOKUP(Q$1,集計加工用!$B$1:$AL$47,ROW(),FALSE)=0,"NA",HLOOKUP(Q$1,集計加工用!$B$1:$AL$47,ROW(),FALSE))</f>
        <v>1.1187676993049038</v>
      </c>
    </row>
    <row r="17" spans="1:17" x14ac:dyDescent="0.25">
      <c r="A17">
        <v>2010</v>
      </c>
      <c r="B17">
        <f>IF(HLOOKUP(B$1,集計加工用!$B$1:$AL$47,ROW(),FALSE)=0,"NA",HLOOKUP(B$1,集計加工用!$B$1:$AL$47,ROW(),FALSE))</f>
        <v>510139.6</v>
      </c>
      <c r="C17">
        <f>IF(HLOOKUP(C$1,集計加工用!$B$1:$AL$47,ROW(),FALSE)=0,"NA",HLOOKUP(C$1,集計加工用!$B$1:$AL$47,ROW(),FALSE))</f>
        <v>286441</v>
      </c>
      <c r="D17">
        <f>IF(HLOOKUP(D$1,集計加工用!$B$1:$AL$47,ROW(),FALSE)=0,"NA",HLOOKUP(D$1,集計加工用!$B$1:$AL$47,ROW(),FALSE))</f>
        <v>94525.000000000015</v>
      </c>
      <c r="E17">
        <f>IF(HLOOKUP(E$1,集計加工用!$B$1:$AL$47,ROW(),FALSE)=0,"NA",HLOOKUP(E$1,集計加工用!$B$1:$AL$47,ROW(),FALSE))</f>
        <v>122411.90000000001</v>
      </c>
      <c r="F17">
        <f>IF(HLOOKUP(F$1,集計加工用!$B$1:$AL$47,ROW(),FALSE)=0,"NA",HLOOKUP(F$1,集計加工用!$B$1:$AL$47,ROW(),FALSE))</f>
        <v>116293.29999999999</v>
      </c>
      <c r="G17">
        <f>IF(HLOOKUP(G$1,集計加工用!$B$1:$AL$47,ROW(),FALSE)=0,"NA",HLOOKUP(G$1,集計加工用!$B$1:$AL$47,ROW(),FALSE))</f>
        <v>96.3</v>
      </c>
      <c r="H17">
        <f>IF(HLOOKUP(H$1,集計加工用!$B$1:$AL$47,ROW(),FALSE)=0,"NA",HLOOKUP(H$1,集計加工用!$B$1:$AL$47,ROW(),FALSE))</f>
        <v>96.2</v>
      </c>
      <c r="I17">
        <f>IF(HLOOKUP(I$1,集計加工用!$B$1:$AL$47,ROW(),FALSE)=0,"NA",HLOOKUP(I$1,集計加工用!$B$1:$AL$47,ROW(),FALSE))</f>
        <v>111254</v>
      </c>
      <c r="J17">
        <f>IF(HLOOKUP(J$1,集計加工用!$B$1:$AL$47,ROW(),FALSE)=0,"NA",HLOOKUP(J$1,集計加工用!$B$1:$AL$47,ROW(),FALSE))</f>
        <v>6632</v>
      </c>
      <c r="K17">
        <f>IF(HLOOKUP(K$1,集計加工用!$B$1:$AL$47,ROW(),FALSE)=0,"NA",HLOOKUP(K$1,集計加工用!$B$1:$AL$47,ROW(),FALSE))</f>
        <v>6298</v>
      </c>
      <c r="L17">
        <f>IF(HLOOKUP(L$1,集計加工用!$B$1:$AL$47,ROW(),FALSE)=0,"NA",HLOOKUP(L$1,集計加工用!$B$1:$AL$47,ROW(),FALSE))</f>
        <v>334</v>
      </c>
      <c r="M17">
        <f>IF(HLOOKUP(M$1,集計加工用!$B$1:$AL$47,ROW(),FALSE)=0,"NA",HLOOKUP(M$1,集計加工用!$B$1:$AL$47,ROW(),FALSE))</f>
        <v>91.988950276243102</v>
      </c>
      <c r="N17">
        <f>IF(HLOOKUP(N$1,集計加工用!$B$1:$AL$47,ROW(),FALSE)=0,"NA",HLOOKUP(N$1,集計加工用!$B$1:$AL$47,ROW(),FALSE))</f>
        <v>108.6</v>
      </c>
      <c r="O17">
        <f>IF(HLOOKUP(O$1,集計加工用!$B$1:$AL$47,ROW(),FALSE)=0,"NA",HLOOKUP(O$1,集計加工用!$B$1:$AL$47,ROW(),FALSE))</f>
        <v>94.8</v>
      </c>
      <c r="P17">
        <f>IF(HLOOKUP(P$1,集計加工用!$B$1:$AL$47,ROW(),FALSE)=0,"NA",HLOOKUP(P$1,集計加工用!$B$1:$AL$47,ROW(),FALSE))</f>
        <v>1.5983333333333301</v>
      </c>
      <c r="Q17">
        <f>IF(HLOOKUP(Q$1,集計加工用!$B$1:$AL$47,ROW(),FALSE)=0,"NA",HLOOKUP(Q$1,集計加工用!$B$1:$AL$47,ROW(),FALSE))</f>
        <v>1.0669016905696724</v>
      </c>
    </row>
    <row r="18" spans="1:17" x14ac:dyDescent="0.25">
      <c r="A18">
        <v>2011</v>
      </c>
      <c r="B18">
        <f>IF(HLOOKUP(B$1,集計加工用!$B$1:$AL$47,ROW(),FALSE)=0,"NA",HLOOKUP(B$1,集計加工用!$B$1:$AL$47,ROW(),FALSE))</f>
        <v>501142</v>
      </c>
      <c r="C18">
        <f>IF(HLOOKUP(C$1,集計加工用!$B$1:$AL$47,ROW(),FALSE)=0,"NA",HLOOKUP(C$1,集計加工用!$B$1:$AL$47,ROW(),FALSE))</f>
        <v>283221.5</v>
      </c>
      <c r="D18">
        <f>IF(HLOOKUP(D$1,集計加工用!$B$1:$AL$47,ROW(),FALSE)=0,"NA",HLOOKUP(D$1,集計加工用!$B$1:$AL$47,ROW(),FALSE))</f>
        <v>98202.3</v>
      </c>
      <c r="E18">
        <f>IF(HLOOKUP(E$1,集計加工用!$B$1:$AL$47,ROW(),FALSE)=0,"NA",HLOOKUP(E$1,集計加工用!$B$1:$AL$47,ROW(),FALSE))</f>
        <v>122937.1</v>
      </c>
      <c r="F18">
        <f>IF(HLOOKUP(F$1,集計加工用!$B$1:$AL$47,ROW(),FALSE)=0,"NA",HLOOKUP(F$1,集計加工用!$B$1:$AL$47,ROW(),FALSE))</f>
        <v>113477.5</v>
      </c>
      <c r="G18">
        <f>IF(HLOOKUP(G$1,集計加工用!$B$1:$AL$47,ROW(),FALSE)=0,"NA",HLOOKUP(G$1,集計加工用!$B$1:$AL$47,ROW(),FALSE))</f>
        <v>94.8</v>
      </c>
      <c r="H18">
        <f>IF(HLOOKUP(H$1,集計加工用!$B$1:$AL$47,ROW(),FALSE)=0,"NA",HLOOKUP(H$1,集計加工用!$B$1:$AL$47,ROW(),FALSE))</f>
        <v>95.7</v>
      </c>
      <c r="I18">
        <f>IF(HLOOKUP(I$1,集計加工用!$B$1:$AL$47,ROW(),FALSE)=0,"NA",HLOOKUP(I$1,集計加工用!$B$1:$AL$47,ROW(),FALSE))</f>
        <v>111129</v>
      </c>
      <c r="J18">
        <f>IF(HLOOKUP(J$1,集計加工用!$B$1:$AL$47,ROW(),FALSE)=0,"NA",HLOOKUP(J$1,集計加工用!$B$1:$AL$47,ROW(),FALSE))</f>
        <v>6596</v>
      </c>
      <c r="K18">
        <f>IF(HLOOKUP(K$1,集計加工用!$B$1:$AL$47,ROW(),FALSE)=0,"NA",HLOOKUP(K$1,集計加工用!$B$1:$AL$47,ROW(),FALSE))</f>
        <v>6293</v>
      </c>
      <c r="L18">
        <f>IF(HLOOKUP(L$1,集計加工用!$B$1:$AL$47,ROW(),FALSE)=0,"NA",HLOOKUP(L$1,集計加工用!$B$1:$AL$47,ROW(),FALSE))</f>
        <v>302</v>
      </c>
      <c r="M18">
        <f>IF(HLOOKUP(M$1,集計加工用!$B$1:$AL$47,ROW(),FALSE)=0,"NA",HLOOKUP(M$1,集計加工用!$B$1:$AL$47,ROW(),FALSE))</f>
        <v>92.059095106186533</v>
      </c>
      <c r="N18">
        <f>IF(HLOOKUP(N$1,集計加工用!$B$1:$AL$47,ROW(),FALSE)=0,"NA",HLOOKUP(N$1,集計加工用!$B$1:$AL$47,ROW(),FALSE))</f>
        <v>108.3</v>
      </c>
      <c r="O18">
        <f>IF(HLOOKUP(O$1,集計加工用!$B$1:$AL$47,ROW(),FALSE)=0,"NA",HLOOKUP(O$1,集計加工用!$B$1:$AL$47,ROW(),FALSE))</f>
        <v>94.5</v>
      </c>
      <c r="P18">
        <f>IF(HLOOKUP(P$1,集計加工用!$B$1:$AL$47,ROW(),FALSE)=0,"NA",HLOOKUP(P$1,集計加工用!$B$1:$AL$47,ROW(),FALSE))</f>
        <v>1.50091666666667</v>
      </c>
      <c r="Q18">
        <f>IF(HLOOKUP(Q$1,集計加工用!$B$1:$AL$47,ROW(),FALSE)=0,"NA",HLOOKUP(Q$1,集計加工用!$B$1:$AL$47,ROW(),FALSE))</f>
        <v>1.0234811777860604</v>
      </c>
    </row>
    <row r="19" spans="1:17" x14ac:dyDescent="0.25">
      <c r="A19">
        <v>2012</v>
      </c>
      <c r="B19">
        <f>IF(HLOOKUP(B$1,集計加工用!$B$1:$AL$47,ROW(),FALSE)=0,"NA",HLOOKUP(B$1,集計加工用!$B$1:$AL$47,ROW(),FALSE))</f>
        <v>505377.1</v>
      </c>
      <c r="C19">
        <f>IF(HLOOKUP(C$1,集計加工用!$B$1:$AL$47,ROW(),FALSE)=0,"NA",HLOOKUP(C$1,集計加工用!$B$1:$AL$47,ROW(),FALSE))</f>
        <v>287611.09999999998</v>
      </c>
      <c r="D19">
        <f>IF(HLOOKUP(D$1,集計加工用!$B$1:$AL$47,ROW(),FALSE)=0,"NA",HLOOKUP(D$1,集計加工用!$B$1:$AL$47,ROW(),FALSE))</f>
        <v>101490.5</v>
      </c>
      <c r="E19">
        <f>IF(HLOOKUP(E$1,集計加工用!$B$1:$AL$47,ROW(),FALSE)=0,"NA",HLOOKUP(E$1,集計加工用!$B$1:$AL$47,ROW(),FALSE))</f>
        <v>124495.2</v>
      </c>
      <c r="F19">
        <f>IF(HLOOKUP(F$1,集計加工用!$B$1:$AL$47,ROW(),FALSE)=0,"NA",HLOOKUP(F$1,集計加工用!$B$1:$AL$47,ROW(),FALSE))</f>
        <v>116089.5</v>
      </c>
      <c r="G19">
        <f>IF(HLOOKUP(G$1,集計加工用!$B$1:$AL$47,ROW(),FALSE)=0,"NA",HLOOKUP(G$1,集計加工用!$B$1:$AL$47,ROW(),FALSE))</f>
        <v>94.1</v>
      </c>
      <c r="H19">
        <f>IF(HLOOKUP(H$1,集計加工用!$B$1:$AL$47,ROW(),FALSE)=0,"NA",HLOOKUP(H$1,集計加工用!$B$1:$AL$47,ROW(),FALSE))</f>
        <v>95.1</v>
      </c>
      <c r="I19">
        <f>IF(HLOOKUP(I$1,集計加工用!$B$1:$AL$47,ROW(),FALSE)=0,"NA",HLOOKUP(I$1,集計加工用!$B$1:$AL$47,ROW(),FALSE))</f>
        <v>111046</v>
      </c>
      <c r="J19">
        <f>IF(HLOOKUP(J$1,集計加工用!$B$1:$AL$47,ROW(),FALSE)=0,"NA",HLOOKUP(J$1,集計加工用!$B$1:$AL$47,ROW(),FALSE))</f>
        <v>6565</v>
      </c>
      <c r="K19">
        <f>IF(HLOOKUP(K$1,集計加工用!$B$1:$AL$47,ROW(),FALSE)=0,"NA",HLOOKUP(K$1,集計加工用!$B$1:$AL$47,ROW(),FALSE))</f>
        <v>6280</v>
      </c>
      <c r="L19">
        <f>IF(HLOOKUP(L$1,集計加工用!$B$1:$AL$47,ROW(),FALSE)=0,"NA",HLOOKUP(L$1,集計加工用!$B$1:$AL$47,ROW(),FALSE))</f>
        <v>285</v>
      </c>
      <c r="M19">
        <f>IF(HLOOKUP(M$1,集計加工用!$B$1:$AL$47,ROW(),FALSE)=0,"NA",HLOOKUP(M$1,集計加工用!$B$1:$AL$47,ROW(),FALSE))</f>
        <v>90.725436179981628</v>
      </c>
      <c r="N19">
        <f>IF(HLOOKUP(N$1,集計加工用!$B$1:$AL$47,ROW(),FALSE)=0,"NA",HLOOKUP(N$1,集計加工用!$B$1:$AL$47,ROW(),FALSE))</f>
        <v>108.9</v>
      </c>
      <c r="O19">
        <f>IF(HLOOKUP(O$1,集計加工用!$B$1:$AL$47,ROW(),FALSE)=0,"NA",HLOOKUP(O$1,集計加工用!$B$1:$AL$47,ROW(),FALSE))</f>
        <v>94.5</v>
      </c>
      <c r="P19">
        <f>IF(HLOOKUP(P$1,集計加工用!$B$1:$AL$47,ROW(),FALSE)=0,"NA",HLOOKUP(P$1,集計加工用!$B$1:$AL$47,ROW(),FALSE))</f>
        <v>1.4075</v>
      </c>
      <c r="Q19">
        <f>IF(HLOOKUP(Q$1,集計加工用!$B$1:$AL$47,ROW(),FALSE)=0,"NA",HLOOKUP(Q$1,集計加工用!$B$1:$AL$47,ROW(),FALSE))</f>
        <v>1.0106820049301593</v>
      </c>
    </row>
    <row r="20" spans="1:17" x14ac:dyDescent="0.25">
      <c r="A20">
        <v>2013</v>
      </c>
      <c r="B20">
        <f>IF(HLOOKUP(B$1,集計加工用!$B$1:$AL$47,ROW(),FALSE)=0,"NA",HLOOKUP(B$1,集計加工用!$B$1:$AL$47,ROW(),FALSE))</f>
        <v>514553.3</v>
      </c>
      <c r="C20">
        <f>IF(HLOOKUP(C$1,集計加工用!$B$1:$AL$47,ROW(),FALSE)=0,"NA",HLOOKUP(C$1,集計加工用!$B$1:$AL$47,ROW(),FALSE))</f>
        <v>295249.40000000002</v>
      </c>
      <c r="D20">
        <f>IF(HLOOKUP(D$1,集計加工用!$B$1:$AL$47,ROW(),FALSE)=0,"NA",HLOOKUP(D$1,集計加工用!$B$1:$AL$47,ROW(),FALSE))</f>
        <v>104172.8</v>
      </c>
      <c r="E20">
        <f>IF(HLOOKUP(E$1,集計加工用!$B$1:$AL$47,ROW(),FALSE)=0,"NA",HLOOKUP(E$1,集計加工用!$B$1:$AL$47,ROW(),FALSE))</f>
        <v>127397.7</v>
      </c>
      <c r="F20">
        <f>IF(HLOOKUP(F$1,集計加工用!$B$1:$AL$47,ROW(),FALSE)=0,"NA",HLOOKUP(F$1,集計加工用!$B$1:$AL$47,ROW(),FALSE))</f>
        <v>109296.29999999999</v>
      </c>
      <c r="G20">
        <f>IF(HLOOKUP(G$1,集計加工用!$B$1:$AL$47,ROW(),FALSE)=0,"NA",HLOOKUP(G$1,集計加工用!$B$1:$AL$47,ROW(),FALSE))</f>
        <v>93.9</v>
      </c>
      <c r="H20">
        <f>IF(HLOOKUP(H$1,集計加工用!$B$1:$AL$47,ROW(),FALSE)=0,"NA",HLOOKUP(H$1,集計加工用!$B$1:$AL$47,ROW(),FALSE))</f>
        <v>95</v>
      </c>
      <c r="I20">
        <f>IF(HLOOKUP(I$1,集計加工用!$B$1:$AL$47,ROW(),FALSE)=0,"NA",HLOOKUP(I$1,集計加工用!$B$1:$AL$47,ROW(),FALSE))</f>
        <v>111024</v>
      </c>
      <c r="J20">
        <f>IF(HLOOKUP(J$1,集計加工用!$B$1:$AL$47,ROW(),FALSE)=0,"NA",HLOOKUP(J$1,集計加工用!$B$1:$AL$47,ROW(),FALSE))</f>
        <v>6593</v>
      </c>
      <c r="K20">
        <f>IF(HLOOKUP(K$1,集計加工用!$B$1:$AL$47,ROW(),FALSE)=0,"NA",HLOOKUP(K$1,集計加工用!$B$1:$AL$47,ROW(),FALSE))</f>
        <v>6326</v>
      </c>
      <c r="L20">
        <f>IF(HLOOKUP(L$1,集計加工用!$B$1:$AL$47,ROW(),FALSE)=0,"NA",HLOOKUP(L$1,集計加工用!$B$1:$AL$47,ROW(),FALSE))</f>
        <v>265</v>
      </c>
      <c r="M20">
        <f>IF(HLOOKUP(M$1,集計加工用!$B$1:$AL$47,ROW(),FALSE)=0,"NA",HLOOKUP(M$1,集計加工用!$B$1:$AL$47,ROW(),FALSE))</f>
        <v>91.457753017641593</v>
      </c>
      <c r="N20">
        <f>IF(HLOOKUP(N$1,集計加工用!$B$1:$AL$47,ROW(),FALSE)=0,"NA",HLOOKUP(N$1,集計加工用!$B$1:$AL$47,ROW(),FALSE))</f>
        <v>107.7</v>
      </c>
      <c r="O20">
        <f>IF(HLOOKUP(O$1,集計加工用!$B$1:$AL$47,ROW(),FALSE)=0,"NA",HLOOKUP(O$1,集計加工用!$B$1:$AL$47,ROW(),FALSE))</f>
        <v>94.9</v>
      </c>
      <c r="P20">
        <f>IF(HLOOKUP(P$1,集計加工用!$B$1:$AL$47,ROW(),FALSE)=0,"NA",HLOOKUP(P$1,集計加工用!$B$1:$AL$47,ROW(),FALSE))</f>
        <v>1.30375</v>
      </c>
      <c r="Q20">
        <f>IF(HLOOKUP(Q$1,集計加工用!$B$1:$AL$47,ROW(),FALSE)=0,"NA",HLOOKUP(Q$1,集計加工用!$B$1:$AL$47,ROW(),FALSE))</f>
        <v>0.86688417618270763</v>
      </c>
    </row>
    <row r="21" spans="1:17" x14ac:dyDescent="0.25">
      <c r="A21">
        <v>2014</v>
      </c>
      <c r="B21">
        <f>IF(HLOOKUP(B$1,集計加工用!$B$1:$AL$47,ROW(),FALSE)=0,"NA",HLOOKUP(B$1,集計加工用!$B$1:$AL$47,ROW(),FALSE))</f>
        <v>528215.6</v>
      </c>
      <c r="C21">
        <f>IF(HLOOKUP(C$1,集計加工用!$B$1:$AL$47,ROW(),FALSE)=0,"NA",HLOOKUP(C$1,集計加工用!$B$1:$AL$47,ROW(),FALSE))</f>
        <v>299134.2</v>
      </c>
      <c r="D21">
        <f>IF(HLOOKUP(D$1,集計加工用!$B$1:$AL$47,ROW(),FALSE)=0,"NA",HLOOKUP(D$1,集計加工用!$B$1:$AL$47,ROW(),FALSE))</f>
        <v>111396.7</v>
      </c>
      <c r="E21">
        <f>IF(HLOOKUP(E$1,集計加工用!$B$1:$AL$47,ROW(),FALSE)=0,"NA",HLOOKUP(E$1,集計加工用!$B$1:$AL$47,ROW(),FALSE))</f>
        <v>131146.9</v>
      </c>
      <c r="F21">
        <f>IF(HLOOKUP(F$1,集計加工用!$B$1:$AL$47,ROW(),FALSE)=0,"NA",HLOOKUP(F$1,集計加工用!$B$1:$AL$47,ROW(),FALSE))</f>
        <v>111857.5</v>
      </c>
      <c r="G21">
        <f>IF(HLOOKUP(G$1,集計加工用!$B$1:$AL$47,ROW(),FALSE)=0,"NA",HLOOKUP(G$1,集計加工用!$B$1:$AL$47,ROW(),FALSE))</f>
        <v>95.5</v>
      </c>
      <c r="H21">
        <f>IF(HLOOKUP(H$1,集計加工用!$B$1:$AL$47,ROW(),FALSE)=0,"NA",HLOOKUP(H$1,集計加工用!$B$1:$AL$47,ROW(),FALSE))</f>
        <v>96.9</v>
      </c>
      <c r="I21">
        <f>IF(HLOOKUP(I$1,集計加工用!$B$1:$AL$47,ROW(),FALSE)=0,"NA",HLOOKUP(I$1,集計加工用!$B$1:$AL$47,ROW(),FALSE))</f>
        <v>111004</v>
      </c>
      <c r="J21">
        <f>IF(HLOOKUP(J$1,集計加工用!$B$1:$AL$47,ROW(),FALSE)=0,"NA",HLOOKUP(J$1,集計加工用!$B$1:$AL$47,ROW(),FALSE))</f>
        <v>6609</v>
      </c>
      <c r="K21">
        <f>IF(HLOOKUP(K$1,集計加工用!$B$1:$AL$47,ROW(),FALSE)=0,"NA",HLOOKUP(K$1,集計加工用!$B$1:$AL$47,ROW(),FALSE))</f>
        <v>6371</v>
      </c>
      <c r="L21">
        <f>IF(HLOOKUP(L$1,集計加工用!$B$1:$AL$47,ROW(),FALSE)=0,"NA",HLOOKUP(L$1,集計加工用!$B$1:$AL$47,ROW(),FALSE))</f>
        <v>236</v>
      </c>
      <c r="M21">
        <f>IF(HLOOKUP(M$1,集計加工用!$B$1:$AL$47,ROW(),FALSE)=0,"NA",HLOOKUP(M$1,集計加工用!$B$1:$AL$47,ROW(),FALSE))</f>
        <v>92.264678471575024</v>
      </c>
      <c r="N21">
        <f>IF(HLOOKUP(N$1,集計加工用!$B$1:$AL$47,ROW(),FALSE)=0,"NA",HLOOKUP(N$1,集計加工用!$B$1:$AL$47,ROW(),FALSE))</f>
        <v>107.3</v>
      </c>
      <c r="O21">
        <f>IF(HLOOKUP(O$1,集計加工用!$B$1:$AL$47,ROW(),FALSE)=0,"NA",HLOOKUP(O$1,集計加工用!$B$1:$AL$47,ROW(),FALSE))</f>
        <v>97.5</v>
      </c>
      <c r="P21">
        <f>IF(HLOOKUP(P$1,集計加工用!$B$1:$AL$47,ROW(),FALSE)=0,"NA",HLOOKUP(P$1,集計加工用!$B$1:$AL$47,ROW(),FALSE))</f>
        <v>1.2191666666666701</v>
      </c>
      <c r="Q21">
        <f>IF(HLOOKUP(Q$1,集計加工用!$B$1:$AL$47,ROW(),FALSE)=0,"NA",HLOOKUP(Q$1,集計加工用!$B$1:$AL$47,ROW(),FALSE))</f>
        <v>0.81684408265497765</v>
      </c>
    </row>
    <row r="22" spans="1:17" x14ac:dyDescent="0.25">
      <c r="A22">
        <v>2015</v>
      </c>
      <c r="B22">
        <f>IF(HLOOKUP(B$1,集計加工用!$B$1:$AL$47,ROW(),FALSE)=0,"NA",HLOOKUP(B$1,集計加工用!$B$1:$AL$47,ROW(),FALSE))</f>
        <v>548866.69999999995</v>
      </c>
      <c r="C22">
        <f>IF(HLOOKUP(C$1,集計加工用!$B$1:$AL$47,ROW(),FALSE)=0,"NA",HLOOKUP(C$1,集計加工用!$B$1:$AL$47,ROW(),FALSE))</f>
        <v>300946.59999999998</v>
      </c>
      <c r="D22">
        <f>IF(HLOOKUP(D$1,集計加工用!$B$1:$AL$47,ROW(),FALSE)=0,"NA",HLOOKUP(D$1,集計加工用!$B$1:$AL$47,ROW(),FALSE))</f>
        <v>118870.39999999999</v>
      </c>
      <c r="E22">
        <f>IF(HLOOKUP(E$1,集計加工用!$B$1:$AL$47,ROW(),FALSE)=0,"NA",HLOOKUP(E$1,集計加工用!$B$1:$AL$47,ROW(),FALSE))</f>
        <v>132032.30000000002</v>
      </c>
      <c r="F22">
        <f>IF(HLOOKUP(F$1,集計加工用!$B$1:$AL$47,ROW(),FALSE)=0,"NA",HLOOKUP(F$1,集計加工用!$B$1:$AL$47,ROW(),FALSE))</f>
        <v>112482.29999999993</v>
      </c>
      <c r="G22">
        <f>IF(HLOOKUP(G$1,集計加工用!$B$1:$AL$47,ROW(),FALSE)=0,"NA",HLOOKUP(G$1,集計加工用!$B$1:$AL$47,ROW(),FALSE))</f>
        <v>97.5</v>
      </c>
      <c r="H22">
        <f>IF(HLOOKUP(H$1,集計加工用!$B$1:$AL$47,ROW(),FALSE)=0,"NA",HLOOKUP(H$1,集計加工用!$B$1:$AL$47,ROW(),FALSE))</f>
        <v>97.4</v>
      </c>
      <c r="I22">
        <f>IF(HLOOKUP(I$1,集計加工用!$B$1:$AL$47,ROW(),FALSE)=0,"NA",HLOOKUP(I$1,集計加工用!$B$1:$AL$47,ROW(),FALSE))</f>
        <v>111208</v>
      </c>
      <c r="J22">
        <f>IF(HLOOKUP(J$1,集計加工用!$B$1:$AL$47,ROW(),FALSE)=0,"NA",HLOOKUP(J$1,集計加工用!$B$1:$AL$47,ROW(),FALSE))</f>
        <v>6625</v>
      </c>
      <c r="K22">
        <f>IF(HLOOKUP(K$1,集計加工用!$B$1:$AL$47,ROW(),FALSE)=0,"NA",HLOOKUP(K$1,集計加工用!$B$1:$AL$47,ROW(),FALSE))</f>
        <v>6402</v>
      </c>
      <c r="L22">
        <f>IF(HLOOKUP(L$1,集計加工用!$B$1:$AL$47,ROW(),FALSE)=0,"NA",HLOOKUP(L$1,集計加工用!$B$1:$AL$47,ROW(),FALSE))</f>
        <v>222</v>
      </c>
      <c r="M22">
        <f>IF(HLOOKUP(M$1,集計加工用!$B$1:$AL$47,ROW(),FALSE)=0,"NA",HLOOKUP(M$1,集計加工用!$B$1:$AL$47,ROW(),FALSE))</f>
        <v>92.703461178671645</v>
      </c>
      <c r="N22">
        <f>IF(HLOOKUP(N$1,集計加工用!$B$1:$AL$47,ROW(),FALSE)=0,"NA",HLOOKUP(N$1,集計加工用!$B$1:$AL$47,ROW(),FALSE))</f>
        <v>106.9</v>
      </c>
      <c r="O22">
        <f>IF(HLOOKUP(O$1,集計加工用!$B$1:$AL$47,ROW(),FALSE)=0,"NA",HLOOKUP(O$1,集計加工用!$B$1:$AL$47,ROW(),FALSE))</f>
        <v>98.2</v>
      </c>
      <c r="P22">
        <f>IF(HLOOKUP(P$1,集計加工用!$B$1:$AL$47,ROW(),FALSE)=0,"NA",HLOOKUP(P$1,集計加工用!$B$1:$AL$47,ROW(),FALSE))</f>
        <v>1.14283333333333</v>
      </c>
      <c r="Q22">
        <f>IF(HLOOKUP(Q$1,集計加工用!$B$1:$AL$47,ROW(),FALSE)=0,"NA",HLOOKUP(Q$1,集計加工用!$B$1:$AL$47,ROW(),FALSE))</f>
        <v>0.8689854663468326</v>
      </c>
    </row>
    <row r="23" spans="1:17" x14ac:dyDescent="0.25">
      <c r="A23">
        <v>2016</v>
      </c>
      <c r="B23">
        <f>IF(HLOOKUP(B$1,集計加工用!$B$1:$AL$47,ROW(),FALSE)=0,"NA",HLOOKUP(B$1,集計加工用!$B$1:$AL$47,ROW(),FALSE))</f>
        <v>555970.6</v>
      </c>
      <c r="C23">
        <f>IF(HLOOKUP(C$1,集計加工用!$B$1:$AL$47,ROW(),FALSE)=0,"NA",HLOOKUP(C$1,集計加工用!$B$1:$AL$47,ROW(),FALSE))</f>
        <v>298979.90000000002</v>
      </c>
      <c r="D23">
        <f>IF(HLOOKUP(D$1,集計加工用!$B$1:$AL$47,ROW(),FALSE)=0,"NA",HLOOKUP(D$1,集計加工用!$B$1:$AL$47,ROW(),FALSE))</f>
        <v>118815.2</v>
      </c>
      <c r="E23">
        <f>IF(HLOOKUP(E$1,集計加工用!$B$1:$AL$47,ROW(),FALSE)=0,"NA",HLOOKUP(E$1,集計加工用!$B$1:$AL$47,ROW(),FALSE))</f>
        <v>133791.5</v>
      </c>
      <c r="F23">
        <f>IF(HLOOKUP(F$1,集計加工用!$B$1:$AL$47,ROW(),FALSE)=0,"NA",HLOOKUP(F$1,集計加工用!$B$1:$AL$47,ROW(),FALSE))</f>
        <v>120822</v>
      </c>
      <c r="G23">
        <f>IF(HLOOKUP(G$1,集計加工用!$B$1:$AL$47,ROW(),FALSE)=0,"NA",HLOOKUP(G$1,集計加工用!$B$1:$AL$47,ROW(),FALSE))</f>
        <v>98.1</v>
      </c>
      <c r="H23">
        <f>IF(HLOOKUP(H$1,集計加工用!$B$1:$AL$47,ROW(),FALSE)=0,"NA",HLOOKUP(H$1,集計加工用!$B$1:$AL$47,ROW(),FALSE))</f>
        <v>97.1</v>
      </c>
      <c r="I23">
        <f>IF(HLOOKUP(I$1,集計加工用!$B$1:$AL$47,ROW(),FALSE)=0,"NA",HLOOKUP(I$1,集計加工用!$B$1:$AL$47,ROW(),FALSE))</f>
        <v>111233</v>
      </c>
      <c r="J23">
        <f>IF(HLOOKUP(J$1,集計加工用!$B$1:$AL$47,ROW(),FALSE)=0,"NA",HLOOKUP(J$1,集計加工用!$B$1:$AL$47,ROW(),FALSE))</f>
        <v>6678</v>
      </c>
      <c r="K23">
        <f>IF(HLOOKUP(K$1,集計加工用!$B$1:$AL$47,ROW(),FALSE)=0,"NA",HLOOKUP(K$1,集計加工用!$B$1:$AL$47,ROW(),FALSE))</f>
        <v>6470</v>
      </c>
      <c r="L23">
        <f>IF(HLOOKUP(L$1,集計加工用!$B$1:$AL$47,ROW(),FALSE)=0,"NA",HLOOKUP(L$1,集計加工用!$B$1:$AL$47,ROW(),FALSE))</f>
        <v>208</v>
      </c>
      <c r="M23">
        <f>IF(HLOOKUP(M$1,集計加工用!$B$1:$AL$47,ROW(),FALSE)=0,"NA",HLOOKUP(M$1,集計加工用!$B$1:$AL$47,ROW(),FALSE))</f>
        <v>93.791157102539984</v>
      </c>
      <c r="N23">
        <f>IF(HLOOKUP(N$1,集計加工用!$B$1:$AL$47,ROW(),FALSE)=0,"NA",HLOOKUP(N$1,集計加工用!$B$1:$AL$47,ROW(),FALSE))</f>
        <v>106.3</v>
      </c>
      <c r="O23">
        <f>IF(HLOOKUP(O$1,集計加工用!$B$1:$AL$47,ROW(),FALSE)=0,"NA",HLOOKUP(O$1,集計加工用!$B$1:$AL$47,ROW(),FALSE))</f>
        <v>98.1</v>
      </c>
      <c r="P23">
        <f>IF(HLOOKUP(P$1,集計加工用!$B$1:$AL$47,ROW(),FALSE)=0,"NA",HLOOKUP(P$1,集計加工用!$B$1:$AL$47,ROW(),FALSE))</f>
        <v>1.0447500000000001</v>
      </c>
      <c r="Q23">
        <f>IF(HLOOKUP(Q$1,集計加工用!$B$1:$AL$47,ROW(),FALSE)=0,"NA",HLOOKUP(Q$1,集計加工用!$B$1:$AL$47,ROW(),FALSE))</f>
        <v>1.0072604474461802</v>
      </c>
    </row>
    <row r="24" spans="1:17" x14ac:dyDescent="0.25">
      <c r="A24">
        <v>2017</v>
      </c>
      <c r="B24">
        <f>IF(HLOOKUP(B$1,集計加工用!$B$1:$AL$47,ROW(),FALSE)=0,"NA",HLOOKUP(B$1,集計加工用!$B$1:$AL$47,ROW(),FALSE))</f>
        <v>565119</v>
      </c>
      <c r="C24">
        <f>IF(HLOOKUP(C$1,集計加工用!$B$1:$AL$47,ROW(),FALSE)=0,"NA",HLOOKUP(C$1,集計加工用!$B$1:$AL$47,ROW(),FALSE))</f>
        <v>303099.90000000002</v>
      </c>
      <c r="D24">
        <f>IF(HLOOKUP(D$1,集計加工用!$B$1:$AL$47,ROW(),FALSE)=0,"NA",HLOOKUP(D$1,集計加工用!$B$1:$AL$47,ROW(),FALSE))</f>
        <v>122919</v>
      </c>
      <c r="E24">
        <f>IF(HLOOKUP(E$1,集計加工用!$B$1:$AL$47,ROW(),FALSE)=0,"NA",HLOOKUP(E$1,集計加工用!$B$1:$AL$47,ROW(),FALSE))</f>
        <v>134902.20000000001</v>
      </c>
      <c r="F24">
        <f>IF(HLOOKUP(F$1,集計加工用!$B$1:$AL$47,ROW(),FALSE)=0,"NA",HLOOKUP(F$1,集計加工用!$B$1:$AL$47,ROW(),FALSE))</f>
        <v>121413.40000000002</v>
      </c>
      <c r="G24">
        <f>IF(HLOOKUP(G$1,集計加工用!$B$1:$AL$47,ROW(),FALSE)=0,"NA",HLOOKUP(G$1,集計加工用!$B$1:$AL$47,ROW(),FALSE))</f>
        <v>98.1</v>
      </c>
      <c r="H24">
        <f>IF(HLOOKUP(H$1,集計加工用!$B$1:$AL$47,ROW(),FALSE)=0,"NA",HLOOKUP(H$1,集計加工用!$B$1:$AL$47,ROW(),FALSE))</f>
        <v>97.6</v>
      </c>
      <c r="I24">
        <f>IF(HLOOKUP(I$1,集計加工用!$B$1:$AL$47,ROW(),FALSE)=0,"NA",HLOOKUP(I$1,集計加工用!$B$1:$AL$47,ROW(),FALSE))</f>
        <v>111278</v>
      </c>
      <c r="J24">
        <f>IF(HLOOKUP(J$1,集計加工用!$B$1:$AL$47,ROW(),FALSE)=0,"NA",HLOOKUP(J$1,集計加工用!$B$1:$AL$47,ROW(),FALSE))</f>
        <v>6732</v>
      </c>
      <c r="K24">
        <f>IF(HLOOKUP(K$1,集計加工用!$B$1:$AL$47,ROW(),FALSE)=0,"NA",HLOOKUP(K$1,集計加工用!$B$1:$AL$47,ROW(),FALSE))</f>
        <v>6542</v>
      </c>
      <c r="L24">
        <f>IF(HLOOKUP(L$1,集計加工用!$B$1:$AL$47,ROW(),FALSE)=0,"NA",HLOOKUP(L$1,集計加工用!$B$1:$AL$47,ROW(),FALSE))</f>
        <v>190</v>
      </c>
      <c r="M24">
        <f>IF(HLOOKUP(M$1,集計加工用!$B$1:$AL$47,ROW(),FALSE)=0,"NA",HLOOKUP(M$1,集計加工用!$B$1:$AL$47,ROW(),FALSE))</f>
        <v>94.439208294062212</v>
      </c>
      <c r="N24">
        <f>IF(HLOOKUP(N$1,集計加工用!$B$1:$AL$47,ROW(),FALSE)=0,"NA",HLOOKUP(N$1,集計加工用!$B$1:$AL$47,ROW(),FALSE))</f>
        <v>106.1</v>
      </c>
      <c r="O24">
        <f>IF(HLOOKUP(O$1,集計加工用!$B$1:$AL$47,ROW(),FALSE)=0,"NA",HLOOKUP(O$1,集計加工用!$B$1:$AL$47,ROW(),FALSE))</f>
        <v>98.6</v>
      </c>
      <c r="P24">
        <f>IF(HLOOKUP(P$1,集計加工用!$B$1:$AL$47,ROW(),FALSE)=0,"NA",HLOOKUP(P$1,集計加工用!$B$1:$AL$47,ROW(),FALSE))</f>
        <v>0.96941666666666704</v>
      </c>
      <c r="Q24">
        <f>IF(HLOOKUP(Q$1,集計加工用!$B$1:$AL$47,ROW(),FALSE)=0,"NA",HLOOKUP(Q$1,集計加工用!$B$1:$AL$47,ROW(),FALSE))</f>
        <v>0.93852240736514037</v>
      </c>
    </row>
    <row r="25" spans="1:17" x14ac:dyDescent="0.25">
      <c r="A25">
        <v>2018</v>
      </c>
      <c r="B25">
        <f>IF(HLOOKUP(B$1,集計加工用!$B$1:$AL$47,ROW(),FALSE)=0,"NA",HLOOKUP(B$1,集計加工用!$B$1:$AL$47,ROW(),FALSE))</f>
        <v>569153.5</v>
      </c>
      <c r="C25">
        <f>IF(HLOOKUP(C$1,集計加工用!$B$1:$AL$47,ROW(),FALSE)=0,"NA",HLOOKUP(C$1,集計加工用!$B$1:$AL$47,ROW(),FALSE))</f>
        <v>305863</v>
      </c>
      <c r="D25">
        <f>IF(HLOOKUP(D$1,集計加工用!$B$1:$AL$47,ROW(),FALSE)=0,"NA",HLOOKUP(D$1,集計加工用!$B$1:$AL$47,ROW(),FALSE))</f>
        <v>126171.90000000001</v>
      </c>
      <c r="E25">
        <f>IF(HLOOKUP(E$1,集計加工用!$B$1:$AL$47,ROW(),FALSE)=0,"NA",HLOOKUP(E$1,集計加工用!$B$1:$AL$47,ROW(),FALSE))</f>
        <v>137012</v>
      </c>
      <c r="F25">
        <f>IF(HLOOKUP(F$1,集計加工用!$B$1:$AL$47,ROW(),FALSE)=0,"NA",HLOOKUP(F$1,集計加工用!$B$1:$AL$47,ROW(),FALSE))</f>
        <v>119200</v>
      </c>
      <c r="G25">
        <f>IF(HLOOKUP(G$1,集計加工用!$B$1:$AL$47,ROW(),FALSE)=0,"NA",HLOOKUP(G$1,集計加工用!$B$1:$AL$47,ROW(),FALSE))</f>
        <v>98</v>
      </c>
      <c r="H25">
        <f>IF(HLOOKUP(H$1,集計加工用!$B$1:$AL$47,ROW(),FALSE)=0,"NA",HLOOKUP(H$1,集計加工用!$B$1:$AL$47,ROW(),FALSE))</f>
        <v>98.3</v>
      </c>
      <c r="I25">
        <f>IF(HLOOKUP(I$1,集計加工用!$B$1:$AL$47,ROW(),FALSE)=0,"NA",HLOOKUP(I$1,集計加工用!$B$1:$AL$47,ROW(),FALSE))</f>
        <v>111276</v>
      </c>
      <c r="J25">
        <f>IF(HLOOKUP(J$1,集計加工用!$B$1:$AL$47,ROW(),FALSE)=0,"NA",HLOOKUP(J$1,集計加工用!$B$1:$AL$47,ROW(),FALSE))</f>
        <v>6849</v>
      </c>
      <c r="K25">
        <f>IF(HLOOKUP(K$1,集計加工用!$B$1:$AL$47,ROW(),FALSE)=0,"NA",HLOOKUP(K$1,集計加工用!$B$1:$AL$47,ROW(),FALSE))</f>
        <v>6682</v>
      </c>
      <c r="L25">
        <f>IF(HLOOKUP(L$1,集計加工用!$B$1:$AL$47,ROW(),FALSE)=0,"NA",HLOOKUP(L$1,集計加工用!$B$1:$AL$47,ROW(),FALSE))</f>
        <v>167</v>
      </c>
      <c r="M25">
        <f>IF(HLOOKUP(M$1,集計加工用!$B$1:$AL$47,ROW(),FALSE)=0,"NA",HLOOKUP(M$1,集計加工用!$B$1:$AL$47,ROW(),FALSE))</f>
        <v>96.577946768060826</v>
      </c>
      <c r="N25">
        <f>IF(HLOOKUP(N$1,集計加工用!$B$1:$AL$47,ROW(),FALSE)=0,"NA",HLOOKUP(N$1,集計加工用!$B$1:$AL$47,ROW(),FALSE))</f>
        <v>105.2</v>
      </c>
      <c r="O25">
        <f>IF(HLOOKUP(O$1,集計加工用!$B$1:$AL$47,ROW(),FALSE)=0,"NA",HLOOKUP(O$1,集計加工用!$B$1:$AL$47,ROW(),FALSE))</f>
        <v>99.5</v>
      </c>
      <c r="P25">
        <f>IF(HLOOKUP(P$1,集計加工用!$B$1:$AL$47,ROW(),FALSE)=0,"NA",HLOOKUP(P$1,集計加工用!$B$1:$AL$47,ROW(),FALSE))</f>
        <v>0.92174999999999996</v>
      </c>
      <c r="Q25">
        <f>IF(HLOOKUP(Q$1,集計加工用!$B$1:$AL$47,ROW(),FALSE)=0,"NA",HLOOKUP(Q$1,集計加工用!$B$1:$AL$47,ROW(),FALSE))</f>
        <v>0.8909489774255237</v>
      </c>
    </row>
    <row r="26" spans="1:17" x14ac:dyDescent="0.25">
      <c r="A26">
        <v>2019</v>
      </c>
      <c r="B26">
        <f>IF(HLOOKUP(B$1,集計加工用!$B$1:$AL$47,ROW(),FALSE)=0,"NA",HLOOKUP(B$1,集計加工用!$B$1:$AL$47,ROW(),FALSE))</f>
        <v>571838</v>
      </c>
      <c r="C26">
        <f>IF(HLOOKUP(C$1,集計加工用!$B$1:$AL$47,ROW(),FALSE)=0,"NA",HLOOKUP(C$1,集計加工用!$B$1:$AL$47,ROW(),FALSE))</f>
        <v>306008.7</v>
      </c>
      <c r="D26">
        <f>IF(HLOOKUP(D$1,集計加工用!$B$1:$AL$47,ROW(),FALSE)=0,"NA",HLOOKUP(D$1,集計加工用!$B$1:$AL$47,ROW(),FALSE))</f>
        <v>127001.5</v>
      </c>
      <c r="E26">
        <f>IF(HLOOKUP(E$1,集計加工用!$B$1:$AL$47,ROW(),FALSE)=0,"NA",HLOOKUP(E$1,集計加工用!$B$1:$AL$47,ROW(),FALSE))</f>
        <v>140444.4</v>
      </c>
      <c r="F26">
        <f>IF(HLOOKUP(F$1,集計加工用!$B$1:$AL$47,ROW(),FALSE)=0,"NA",HLOOKUP(F$1,集計加工用!$B$1:$AL$47,ROW(),FALSE))</f>
        <v>126747.59999999998</v>
      </c>
      <c r="G26">
        <f>IF(HLOOKUP(G$1,集計加工用!$B$1:$AL$47,ROW(),FALSE)=0,"NA",HLOOKUP(G$1,集計加工用!$B$1:$AL$47,ROW(),FALSE))</f>
        <v>98.7</v>
      </c>
      <c r="H26">
        <f>IF(HLOOKUP(H$1,集計加工用!$B$1:$AL$47,ROW(),FALSE)=0,"NA",HLOOKUP(H$1,集計加工用!$B$1:$AL$47,ROW(),FALSE))</f>
        <v>99.1</v>
      </c>
      <c r="I26">
        <f>IF(HLOOKUP(I$1,集計加工用!$B$1:$AL$47,ROW(),FALSE)=0,"NA",HLOOKUP(I$1,集計加工用!$B$1:$AL$47,ROW(),FALSE))</f>
        <v>111296</v>
      </c>
      <c r="J26">
        <f>IF(HLOOKUP(J$1,集計加工用!$B$1:$AL$47,ROW(),FALSE)=0,"NA",HLOOKUP(J$1,集計加工用!$B$1:$AL$47,ROW(),FALSE))</f>
        <v>6912</v>
      </c>
      <c r="K26">
        <f>IF(HLOOKUP(K$1,集計加工用!$B$1:$AL$47,ROW(),FALSE)=0,"NA",HLOOKUP(K$1,集計加工用!$B$1:$AL$47,ROW(),FALSE))</f>
        <v>6750</v>
      </c>
      <c r="L26">
        <f>IF(HLOOKUP(L$1,集計加工用!$B$1:$AL$47,ROW(),FALSE)=0,"NA",HLOOKUP(L$1,集計加工用!$B$1:$AL$47,ROW(),FALSE))</f>
        <v>162</v>
      </c>
      <c r="M26">
        <f>IF(HLOOKUP(M$1,集計加工用!$B$1:$AL$47,ROW(),FALSE)=0,"NA",HLOOKUP(M$1,集計加工用!$B$1:$AL$47,ROW(),FALSE))</f>
        <v>98.347910592808546</v>
      </c>
      <c r="N26">
        <f>IF(HLOOKUP(N$1,集計加工用!$B$1:$AL$47,ROW(),FALSE)=0,"NA",HLOOKUP(N$1,集計加工用!$B$1:$AL$47,ROW(),FALSE))</f>
        <v>102.9</v>
      </c>
      <c r="O26">
        <f>IF(HLOOKUP(O$1,集計加工用!$B$1:$AL$47,ROW(),FALSE)=0,"NA",HLOOKUP(O$1,集計加工用!$B$1:$AL$47,ROW(),FALSE))</f>
        <v>100</v>
      </c>
      <c r="P26">
        <f>IF(HLOOKUP(P$1,集計加工用!$B$1:$AL$47,ROW(),FALSE)=0,"NA",HLOOKUP(P$1,集計加工用!$B$1:$AL$47,ROW(),FALSE))</f>
        <v>0.88100000000000001</v>
      </c>
      <c r="Q26">
        <f>IF(HLOOKUP(Q$1,集計加工用!$B$1:$AL$47,ROW(),FALSE)=0,"NA",HLOOKUP(Q$1,集計加工用!$B$1:$AL$47,ROW(),FALSE))</f>
        <v>0.91534668260610252</v>
      </c>
    </row>
    <row r="27" spans="1:17" x14ac:dyDescent="0.25">
      <c r="A27">
        <v>2020</v>
      </c>
      <c r="B27">
        <f>IF(HLOOKUP(B$1,集計加工用!$B$1:$AL$47,ROW(),FALSE)=0,"NA",HLOOKUP(B$1,集計加工用!$B$1:$AL$47,ROW(),FALSE))</f>
        <v>554074.4</v>
      </c>
      <c r="C27">
        <f>IF(HLOOKUP(C$1,集計加工用!$B$1:$AL$47,ROW(),FALSE)=0,"NA",HLOOKUP(C$1,集計加工用!$B$1:$AL$47,ROW(),FALSE))</f>
        <v>293314.5</v>
      </c>
      <c r="D27">
        <f>IF(HLOOKUP(D$1,集計加工用!$B$1:$AL$47,ROW(),FALSE)=0,"NA",HLOOKUP(D$1,集計加工用!$B$1:$AL$47,ROW(),FALSE))</f>
        <v>118258.7</v>
      </c>
      <c r="E27">
        <f>IF(HLOOKUP(E$1,集計加工用!$B$1:$AL$47,ROW(),FALSE)=0,"NA",HLOOKUP(E$1,集計加工用!$B$1:$AL$47,ROW(),FALSE))</f>
        <v>143952</v>
      </c>
      <c r="F27">
        <f>IF(HLOOKUP(F$1,集計加工用!$B$1:$AL$47,ROW(),FALSE)=0,"NA",HLOOKUP(F$1,集計加工用!$B$1:$AL$47,ROW(),FALSE))</f>
        <v>131804.10000000003</v>
      </c>
      <c r="G27">
        <f>IF(HLOOKUP(G$1,集計加工用!$B$1:$AL$47,ROW(),FALSE)=0,"NA",HLOOKUP(G$1,集計加工用!$B$1:$AL$47,ROW(),FALSE))</f>
        <v>100</v>
      </c>
      <c r="H27">
        <f>IF(HLOOKUP(H$1,集計加工用!$B$1:$AL$47,ROW(),FALSE)=0,"NA",HLOOKUP(H$1,集計加工用!$B$1:$AL$47,ROW(),FALSE))</f>
        <v>100</v>
      </c>
      <c r="I27">
        <f>IF(HLOOKUP(I$1,集計加工用!$B$1:$AL$47,ROW(),FALSE)=0,"NA",HLOOKUP(I$1,集計加工用!$B$1:$AL$47,ROW(),FALSE))</f>
        <v>111114</v>
      </c>
      <c r="J27">
        <f>IF(HLOOKUP(J$1,集計加工用!$B$1:$AL$47,ROW(),FALSE)=0,"NA",HLOOKUP(J$1,集計加工用!$B$1:$AL$47,ROW(),FALSE))</f>
        <v>6902</v>
      </c>
      <c r="K27">
        <f>IF(HLOOKUP(K$1,集計加工用!$B$1:$AL$47,ROW(),FALSE)=0,"NA",HLOOKUP(K$1,集計加工用!$B$1:$AL$47,ROW(),FALSE))</f>
        <v>6710</v>
      </c>
      <c r="L27">
        <f>IF(HLOOKUP(L$1,集計加工用!$B$1:$AL$47,ROW(),FALSE)=0,"NA",HLOOKUP(L$1,集計加工用!$B$1:$AL$47,ROW(),FALSE))</f>
        <v>192</v>
      </c>
      <c r="M27">
        <f>IF(HLOOKUP(M$1,集計加工用!$B$1:$AL$47,ROW(),FALSE)=0,"NA",HLOOKUP(M$1,集計加工用!$B$1:$AL$47,ROW(),FALSE))</f>
        <v>100</v>
      </c>
      <c r="N27">
        <f>IF(HLOOKUP(N$1,集計加工用!$B$1:$AL$47,ROW(),FALSE)=0,"NA",HLOOKUP(N$1,集計加工用!$B$1:$AL$47,ROW(),FALSE))</f>
        <v>100</v>
      </c>
      <c r="O27">
        <f>IF(HLOOKUP(O$1,集計加工用!$B$1:$AL$47,ROW(),FALSE)=0,"NA",HLOOKUP(O$1,集計加工用!$B$1:$AL$47,ROW(),FALSE))</f>
        <v>100</v>
      </c>
      <c r="P27">
        <f>IF(HLOOKUP(P$1,集計加工用!$B$1:$AL$47,ROW(),FALSE)=0,"NA",HLOOKUP(P$1,集計加工用!$B$1:$AL$47,ROW(),FALSE))</f>
        <v>0.82666666666666699</v>
      </c>
      <c r="Q27">
        <f>IF(HLOOKUP(Q$1,集計加工用!$B$1:$AL$47,ROW(),FALSE)=0,"NA",HLOOKUP(Q$1,集計加工用!$B$1:$AL$47,ROW(),FALSE))</f>
        <v>0.99991667361053582</v>
      </c>
    </row>
    <row r="28" spans="1:17" x14ac:dyDescent="0.25">
      <c r="A28">
        <v>2021</v>
      </c>
      <c r="B28">
        <f>IF(HLOOKUP(B$1,集計加工用!$B$1:$AL$47,ROW(),FALSE)=0,"NA",HLOOKUP(B$1,集計加工用!$B$1:$AL$47,ROW(),FALSE))</f>
        <v>573568.80000000005</v>
      </c>
      <c r="C28">
        <f>IF(HLOOKUP(C$1,集計加工用!$B$1:$AL$47,ROW(),FALSE)=0,"NA",HLOOKUP(C$1,集計加工用!$B$1:$AL$47,ROW(),FALSE))</f>
        <v>301948.2</v>
      </c>
      <c r="D28">
        <f>IF(HLOOKUP(D$1,集計加工用!$B$1:$AL$47,ROW(),FALSE)=0,"NA",HLOOKUP(D$1,集計加工用!$B$1:$AL$47,ROW(),FALSE))</f>
        <v>126185.9</v>
      </c>
      <c r="E28">
        <f>IF(HLOOKUP(E$1,集計加工用!$B$1:$AL$47,ROW(),FALSE)=0,"NA",HLOOKUP(E$1,集計加工用!$B$1:$AL$47,ROW(),FALSE))</f>
        <v>148310.69999999998</v>
      </c>
      <c r="F28">
        <f>IF(HLOOKUP(F$1,集計加工用!$B$1:$AL$47,ROW(),FALSE)=0,"NA",HLOOKUP(F$1,集計加工用!$B$1:$AL$47,ROW(),FALSE))</f>
        <v>125301.30000000005</v>
      </c>
      <c r="G28">
        <f>IF(HLOOKUP(G$1,集計加工用!$B$1:$AL$47,ROW(),FALSE)=0,"NA",HLOOKUP(G$1,集計加工用!$B$1:$AL$47,ROW(),FALSE))</f>
        <v>99.9</v>
      </c>
      <c r="H28">
        <f>IF(HLOOKUP(H$1,集計加工用!$B$1:$AL$47,ROW(),FALSE)=0,"NA",HLOOKUP(H$1,集計加工用!$B$1:$AL$47,ROW(),FALSE))</f>
        <v>101</v>
      </c>
      <c r="I28">
        <f>IF(HLOOKUP(I$1,集計加工用!$B$1:$AL$47,ROW(),FALSE)=0,"NA",HLOOKUP(I$1,集計加工用!$B$1:$AL$47,ROW(),FALSE))</f>
        <v>110735</v>
      </c>
      <c r="J28">
        <f>IF(HLOOKUP(J$1,集計加工用!$B$1:$AL$47,ROW(),FALSE)=0,"NA",HLOOKUP(J$1,集計加工用!$B$1:$AL$47,ROW(),FALSE))</f>
        <v>6907</v>
      </c>
      <c r="K28">
        <f>IF(HLOOKUP(K$1,集計加工用!$B$1:$AL$47,ROW(),FALSE)=0,"NA",HLOOKUP(K$1,集計加工用!$B$1:$AL$47,ROW(),FALSE))</f>
        <v>6713</v>
      </c>
      <c r="L28">
        <f>IF(HLOOKUP(L$1,集計加工用!$B$1:$AL$47,ROW(),FALSE)=0,"NA",HLOOKUP(L$1,集計加工用!$B$1:$AL$47,ROW(),FALSE))</f>
        <v>195</v>
      </c>
      <c r="M28">
        <f>IF(HLOOKUP(M$1,集計加工用!$B$1:$AL$47,ROW(),FALSE)=0,"NA",HLOOKUP(M$1,集計加工用!$B$1:$AL$47,ROW(),FALSE))</f>
        <v>99.602780536246271</v>
      </c>
      <c r="N28">
        <f>IF(HLOOKUP(N$1,集計加工用!$B$1:$AL$47,ROW(),FALSE)=0,"NA",HLOOKUP(N$1,集計加工用!$B$1:$AL$47,ROW(),FALSE))</f>
        <v>100.7</v>
      </c>
      <c r="O28">
        <f>IF(HLOOKUP(O$1,集計加工用!$B$1:$AL$47,ROW(),FALSE)=0,"NA",HLOOKUP(O$1,集計加工用!$B$1:$AL$47,ROW(),FALSE))</f>
        <v>99.8</v>
      </c>
      <c r="P28">
        <f>IF(HLOOKUP(P$1,集計加工用!$B$1:$AL$47,ROW(),FALSE)=0,"NA",HLOOKUP(P$1,集計加工用!$B$1:$AL$47,ROW(),FALSE))</f>
        <v>0.80408333333333304</v>
      </c>
      <c r="Q28">
        <f>IF(HLOOKUP(Q$1,集計加工用!$B$1:$AL$47,ROW(),FALSE)=0,"NA",HLOOKUP(Q$1,集計加工用!$B$1:$AL$47,ROW(),FALSE))</f>
        <v>0.87010761532661318</v>
      </c>
    </row>
    <row r="29" spans="1:17" x14ac:dyDescent="0.25">
      <c r="A29">
        <v>2022</v>
      </c>
      <c r="B29">
        <f>IF(HLOOKUP(B$1,集計加工用!$B$1:$AL$47,ROW(),FALSE)=0,"NA",HLOOKUP(B$1,集計加工用!$B$1:$AL$47,ROW(),FALSE))</f>
        <v>584900.6</v>
      </c>
      <c r="C29">
        <f>IF(HLOOKUP(C$1,集計加工用!$B$1:$AL$47,ROW(),FALSE)=0,"NA",HLOOKUP(C$1,集計加工用!$B$1:$AL$47,ROW(),FALSE))</f>
        <v>319026.8</v>
      </c>
      <c r="D29">
        <f>IF(HLOOKUP(D$1,集計加工用!$B$1:$AL$47,ROW(),FALSE)=0,"NA",HLOOKUP(D$1,集計加工用!$B$1:$AL$47,ROW(),FALSE))</f>
        <v>136419.5</v>
      </c>
      <c r="E29">
        <f>IF(HLOOKUP(E$1,集計加工用!$B$1:$AL$47,ROW(),FALSE)=0,"NA",HLOOKUP(E$1,集計加工用!$B$1:$AL$47,ROW(),FALSE))</f>
        <v>150305.5</v>
      </c>
      <c r="F29">
        <f>IF(HLOOKUP(F$1,集計加工用!$B$1:$AL$47,ROW(),FALSE)=0,"NA",HLOOKUP(F$1,集計加工用!$B$1:$AL$47,ROW(),FALSE))</f>
        <v>122603.89999999997</v>
      </c>
      <c r="G29">
        <f>IF(HLOOKUP(G$1,集計加工用!$B$1:$AL$47,ROW(),FALSE)=0,"NA",HLOOKUP(G$1,集計加工用!$B$1:$AL$47,ROW(),FALSE))</f>
        <v>100.6</v>
      </c>
      <c r="H29">
        <f>IF(HLOOKUP(H$1,集計加工用!$B$1:$AL$47,ROW(),FALSE)=0,"NA",HLOOKUP(H$1,集計加工用!$B$1:$AL$47,ROW(),FALSE))</f>
        <v>104.3</v>
      </c>
      <c r="I29">
        <f>IF(HLOOKUP(I$1,集計加工用!$B$1:$AL$47,ROW(),FALSE)=0,"NA",HLOOKUP(I$1,集計加工用!$B$1:$AL$47,ROW(),FALSE))</f>
        <v>110463</v>
      </c>
      <c r="J29">
        <f>IF(HLOOKUP(J$1,集計加工用!$B$1:$AL$47,ROW(),FALSE)=0,"NA",HLOOKUP(J$1,集計加工用!$B$1:$AL$47,ROW(),FALSE))</f>
        <v>6902</v>
      </c>
      <c r="K29">
        <f>IF(HLOOKUP(K$1,集計加工用!$B$1:$AL$47,ROW(),FALSE)=0,"NA",HLOOKUP(K$1,集計加工用!$B$1:$AL$47,ROW(),FALSE))</f>
        <v>6723</v>
      </c>
      <c r="L29">
        <f>IF(HLOOKUP(L$1,集計加工用!$B$1:$AL$47,ROW(),FALSE)=0,"NA",HLOOKUP(L$1,集計加工用!$B$1:$AL$47,ROW(),FALSE))</f>
        <v>179</v>
      </c>
      <c r="M29">
        <f>IF(HLOOKUP(M$1,集計加工用!$B$1:$AL$47,ROW(),FALSE)=0,"NA",HLOOKUP(M$1,集計加工用!$B$1:$AL$47,ROW(),FALSE))</f>
        <v>101.48809523809523</v>
      </c>
      <c r="N29">
        <f>IF(HLOOKUP(N$1,集計加工用!$B$1:$AL$47,ROW(),FALSE)=0,"NA",HLOOKUP(N$1,集計加工用!$B$1:$AL$47,ROW(),FALSE))</f>
        <v>100.8</v>
      </c>
      <c r="O29">
        <f>IF(HLOOKUP(O$1,集計加工用!$B$1:$AL$47,ROW(),FALSE)=0,"NA",HLOOKUP(O$1,集計加工用!$B$1:$AL$47,ROW(),FALSE))</f>
        <v>102.3</v>
      </c>
      <c r="P29">
        <f>IF(HLOOKUP(P$1,集計加工用!$B$1:$AL$47,ROW(),FALSE)=0,"NA",HLOOKUP(P$1,集計加工用!$B$1:$AL$47,ROW(),FALSE))</f>
        <v>0.78349999999999997</v>
      </c>
      <c r="Q29">
        <f>IF(HLOOKUP(Q$1,集計加工用!$B$1:$AL$47,ROW(),FALSE)=0,"NA",HLOOKUP(Q$1,集計加工用!$B$1:$AL$47,ROW(),FALSE))</f>
        <v>0.65492090089202171</v>
      </c>
    </row>
    <row r="30" spans="1:17" x14ac:dyDescent="0.25">
      <c r="A30">
        <v>2023</v>
      </c>
      <c r="B30">
        <f>IF(HLOOKUP(B$1,集計加工用!$B$1:$AL$47,ROW(),FALSE)=0,"NA",HLOOKUP(B$1,集計加工用!$B$1:$AL$47,ROW(),FALSE))</f>
        <v>616033</v>
      </c>
      <c r="C30">
        <f>IF(HLOOKUP(C$1,集計加工用!$B$1:$AL$47,ROW(),FALSE)=0,"NA",HLOOKUP(C$1,集計加工用!$B$1:$AL$47,ROW(),FALSE))</f>
        <v>330179.7</v>
      </c>
      <c r="D30">
        <f>IF(HLOOKUP(D$1,集計加工用!$B$1:$AL$47,ROW(),FALSE)=0,"NA",HLOOKUP(D$1,集計加工用!$B$1:$AL$47,ROW(),FALSE))</f>
        <v>140353.29999999999</v>
      </c>
      <c r="E30">
        <f>IF(HLOOKUP(E$1,集計加工用!$B$1:$AL$47,ROW(),FALSE)=0,"NA",HLOOKUP(E$1,集計加工用!$B$1:$AL$47,ROW(),FALSE))</f>
        <v>154595.4</v>
      </c>
      <c r="F30">
        <f>IF(HLOOKUP(F$1,集計加工用!$B$1:$AL$47,ROW(),FALSE)=0,"NA",HLOOKUP(F$1,集計加工用!$B$1:$AL$47,ROW(),FALSE))</f>
        <v>133596.20000000001</v>
      </c>
      <c r="G30">
        <f>IF(HLOOKUP(G$1,集計加工用!$B$1:$AL$47,ROW(),FALSE)=0,"NA",HLOOKUP(G$1,集計加工用!$B$1:$AL$47,ROW(),FALSE))</f>
        <v>105.1</v>
      </c>
      <c r="H30">
        <f>IF(HLOOKUP(H$1,集計加工用!$B$1:$AL$47,ROW(),FALSE)=0,"NA",HLOOKUP(H$1,集計加工用!$B$1:$AL$47,ROW(),FALSE))</f>
        <v>107.9</v>
      </c>
      <c r="I30">
        <f>IF(HLOOKUP(I$1,集計加工用!$B$1:$AL$47,ROW(),FALSE)=0,"NA",HLOOKUP(I$1,集計加工用!$B$1:$AL$47,ROW(),FALSE))</f>
        <v>110206</v>
      </c>
      <c r="J30">
        <f>IF(HLOOKUP(J$1,集計加工用!$B$1:$AL$47,ROW(),FALSE)=0,"NA",HLOOKUP(J$1,集計加工用!$B$1:$AL$47,ROW(),FALSE))</f>
        <v>6925</v>
      </c>
      <c r="K30">
        <f>IF(HLOOKUP(K$1,集計加工用!$B$1:$AL$47,ROW(),FALSE)=0,"NA",HLOOKUP(K$1,集計加工用!$B$1:$AL$47,ROW(),FALSE))</f>
        <v>6747</v>
      </c>
      <c r="L30">
        <f>IF(HLOOKUP(L$1,集計加工用!$B$1:$AL$47,ROW(),FALSE)=0,"NA",HLOOKUP(L$1,集計加工用!$B$1:$AL$47,ROW(),FALSE))</f>
        <v>178</v>
      </c>
      <c r="M30">
        <f>IF(HLOOKUP(M$1,集計加工用!$B$1:$AL$47,ROW(),FALSE)=0,"NA",HLOOKUP(M$1,集計加工用!$B$1:$AL$47,ROW(),FALSE))</f>
        <v>102.57680872150642</v>
      </c>
      <c r="N30">
        <f>IF(HLOOKUP(N$1,集計加工用!$B$1:$AL$47,ROW(),FALSE)=0,"NA",HLOOKUP(N$1,集計加工用!$B$1:$AL$47,ROW(),FALSE))</f>
        <v>100.9</v>
      </c>
      <c r="O30">
        <f>IF(HLOOKUP(O$1,集計加工用!$B$1:$AL$47,ROW(),FALSE)=0,"NA",HLOOKUP(O$1,集計加工用!$B$1:$AL$47,ROW(),FALSE))</f>
        <v>105.6</v>
      </c>
      <c r="P30">
        <f>IF(HLOOKUP(P$1,集計加工用!$B$1:$AL$47,ROW(),FALSE)=0,"NA",HLOOKUP(P$1,集計加工用!$B$1:$AL$47,ROW(),FALSE))</f>
        <v>0.77691666666666703</v>
      </c>
      <c r="Q30">
        <f>IF(HLOOKUP(Q$1,集計加工用!$B$1:$AL$47,ROW(),FALSE)=0,"NA",HLOOKUP(Q$1,集計加工用!$B$1:$AL$47,ROW(),FALSE))</f>
        <v>0.68550012923235915</v>
      </c>
    </row>
    <row r="31" spans="1:17" x14ac:dyDescent="0.25">
      <c r="A31">
        <v>2024</v>
      </c>
      <c r="B31">
        <f>IF(HLOOKUP(B$1,集計加工用!$B$1:$AL$47,ROW(),FALSE)=0,"NA",HLOOKUP(B$1,集計加工用!$B$1:$AL$47,ROW(),FALSE))</f>
        <v>634226</v>
      </c>
      <c r="C31">
        <f>IF(HLOOKUP(C$1,集計加工用!$B$1:$AL$47,ROW(),FALSE)=0,"NA",HLOOKUP(C$1,集計加工用!$B$1:$AL$47,ROW(),FALSE))</f>
        <v>336580.9</v>
      </c>
      <c r="D31">
        <f>IF(HLOOKUP(D$1,集計加工用!$B$1:$AL$47,ROW(),FALSE)=0,"NA",HLOOKUP(D$1,集計加工用!$B$1:$AL$47,ROW(),FALSE))</f>
        <v>144166.6</v>
      </c>
      <c r="E31">
        <f>IF(HLOOKUP(E$1,集計加工用!$B$1:$AL$47,ROW(),FALSE)=0,"NA",HLOOKUP(E$1,集計加工用!$B$1:$AL$47,ROW(),FALSE))</f>
        <v>159143</v>
      </c>
      <c r="F31">
        <f>IF(HLOOKUP(F$1,集計加工用!$B$1:$AL$47,ROW(),FALSE)=0,"NA",HLOOKUP(F$1,集計加工用!$B$1:$AL$47,ROW(),FALSE))</f>
        <v>137572.09999999998</v>
      </c>
      <c r="G31">
        <f>IF(HLOOKUP(G$1,集計加工用!$B$1:$AL$47,ROW(),FALSE)=0,"NA",HLOOKUP(G$1,集計加工用!$B$1:$AL$47,ROW(),FALSE))</f>
        <v>108.5</v>
      </c>
      <c r="H31">
        <f>IF(HLOOKUP(H$1,集計加工用!$B$1:$AL$47,ROW(),FALSE)=0,"NA",HLOOKUP(H$1,集計加工用!$B$1:$AL$47,ROW(),FALSE))</f>
        <v>110.6</v>
      </c>
      <c r="I31">
        <f>IF(HLOOKUP(I$1,集計加工用!$B$1:$AL$47,ROW(),FALSE)=0,"NA",HLOOKUP(I$1,集計加工用!$B$1:$AL$47,ROW(),FALSE))</f>
        <v>109929</v>
      </c>
      <c r="J31">
        <f>IF(HLOOKUP(J$1,集計加工用!$B$1:$AL$47,ROW(),FALSE)=0,"NA",HLOOKUP(J$1,集計加工用!$B$1:$AL$47,ROW(),FALSE))</f>
        <v>6957</v>
      </c>
      <c r="K31">
        <f>IF(HLOOKUP(K$1,集計加工用!$B$1:$AL$47,ROW(),FALSE)=0,"NA",HLOOKUP(K$1,集計加工用!$B$1:$AL$47,ROW(),FALSE))</f>
        <v>6781</v>
      </c>
      <c r="L31">
        <f>IF(HLOOKUP(L$1,集計加工用!$B$1:$AL$47,ROW(),FALSE)=0,"NA",HLOOKUP(L$1,集計加工用!$B$1:$AL$47,ROW(),FALSE))</f>
        <v>176</v>
      </c>
      <c r="M31">
        <f>IF(HLOOKUP(M$1,集計加工用!$B$1:$AL$47,ROW(),FALSE)=0,"NA",HLOOKUP(M$1,集計加工用!$B$1:$AL$47,ROW(),FALSE))</f>
        <v>106.51410036940263</v>
      </c>
      <c r="N31">
        <f>IF(HLOOKUP(N$1,集計加工用!$B$1:$AL$47,ROW(),FALSE)=0,"NA",HLOOKUP(N$1,集計加工用!$B$1:$AL$47,ROW(),FALSE))</f>
        <v>99.891000000000005</v>
      </c>
      <c r="O31">
        <f>IF(HLOOKUP(O$1,集計加工用!$B$1:$AL$47,ROW(),FALSE)=0,"NA",HLOOKUP(O$1,集計加工用!$B$1:$AL$47,ROW(),FALSE))</f>
        <v>108.5</v>
      </c>
      <c r="P31">
        <f>IF(HLOOKUP(P$1,集計加工用!$B$1:$AL$47,ROW(),FALSE)=0,"NA",HLOOKUP(P$1,集計加工用!$B$1:$AL$47,ROW(),FALSE))</f>
        <v>0.84183333333333299</v>
      </c>
      <c r="Q31">
        <f>IF(HLOOKUP(Q$1,集計加工用!$B$1:$AL$47,ROW(),FALSE)=0,"NA",HLOOKUP(Q$1,集計加工用!$B$1:$AL$47,ROW(),FALSE))</f>
        <v>0.68019129121570465</v>
      </c>
    </row>
    <row r="32" spans="1:17" x14ac:dyDescent="0.25">
      <c r="A32">
        <v>2025</v>
      </c>
      <c r="B32">
        <f>IF(HLOOKUP(B$1,集計加工用!$B$1:$AL$47,ROW(),FALSE)=0,"NA",HLOOKUP(B$1,集計加工用!$B$1:$AL$47,ROW(),FALSE))</f>
        <v>663757.30000000005</v>
      </c>
      <c r="C32">
        <f>IF(HLOOKUP(C$1,集計加工用!$B$1:$AL$47,ROW(),FALSE)=0,"NA",HLOOKUP(C$1,集計加工用!$B$1:$AL$47,ROW(),FALSE))</f>
        <v>351588</v>
      </c>
      <c r="D32">
        <f>IF(HLOOKUP(D$1,集計加工用!$B$1:$AL$47,ROW(),FALSE)=0,"NA",HLOOKUP(D$1,集計加工用!$B$1:$AL$47,ROW(),FALSE))</f>
        <v>151590</v>
      </c>
      <c r="E32">
        <f>IF(HLOOKUP(E$1,集計加工用!$B$1:$AL$47,ROW(),FALSE)=0,"NA",HLOOKUP(E$1,集計加工用!$B$1:$AL$47,ROW(),FALSE))</f>
        <v>164108.20000000001</v>
      </c>
      <c r="F32">
        <f>IF(HLOOKUP(F$1,集計加工用!$B$1:$AL$47,ROW(),FALSE)=0,"NA",HLOOKUP(F$1,集計加工用!$B$1:$AL$47,ROW(),FALSE))</f>
        <v>151540.05198156688</v>
      </c>
      <c r="G32">
        <f>IF(HLOOKUP(G$1,集計加工用!$B$1:$AL$47,ROW(),FALSE)=0,"NA",HLOOKUP(G$1,集計加工用!$B$1:$AL$47,ROW(),FALSE))</f>
        <v>112.2</v>
      </c>
      <c r="H32">
        <f>IF(HLOOKUP(H$1,集計加工用!$B$1:$AL$47,ROW(),FALSE)=0,"NA",HLOOKUP(H$1,集計加工用!$B$1:$AL$47,ROW(),FALSE))</f>
        <v>113.9</v>
      </c>
      <c r="I32">
        <f>IF(HLOOKUP(I$1,集計加工用!$B$1:$AL$47,ROW(),FALSE)=0,"NA",HLOOKUP(I$1,集計加工用!$B$1:$AL$47,ROW(),FALSE))</f>
        <v>109629</v>
      </c>
      <c r="J32">
        <f>IF(HLOOKUP(J$1,集計加工用!$B$1:$AL$47,ROW(),FALSE)=0,"NA",HLOOKUP(J$1,集計加工用!$B$1:$AL$47,ROW(),FALSE))</f>
        <v>7004</v>
      </c>
      <c r="K32">
        <f>IF(HLOOKUP(K$1,集計加工用!$B$1:$AL$47,ROW(),FALSE)=0,"NA",HLOOKUP(K$1,集計加工用!$B$1:$AL$47,ROW(),FALSE))</f>
        <v>6828</v>
      </c>
      <c r="L32">
        <f>IF(HLOOKUP(L$1,集計加工用!$B$1:$AL$47,ROW(),FALSE)=0,"NA",HLOOKUP(L$1,集計加工用!$B$1:$AL$47,ROW(),FALSE))</f>
        <v>176</v>
      </c>
      <c r="M32">
        <f>IF(HLOOKUP(M$1,集計加工用!$B$1:$AL$47,ROW(),FALSE)=0,"NA",HLOOKUP(M$1,集計加工用!$B$1:$AL$47,ROW(),FALSE))</f>
        <v>110.5110797950293</v>
      </c>
      <c r="N32">
        <f>IF(HLOOKUP(N$1,集計加工用!$B$1:$AL$47,ROW(),FALSE)=0,"NA",HLOOKUP(N$1,集計加工用!$B$1:$AL$47,ROW(),FALSE))</f>
        <v>98.492525999999998</v>
      </c>
      <c r="O32">
        <f>IF(HLOOKUP(O$1,集計加工用!$B$1:$AL$47,ROW(),FALSE)=0,"NA",HLOOKUP(O$1,集計加工用!$B$1:$AL$47,ROW(),FALSE))</f>
        <v>111.9</v>
      </c>
      <c r="P32">
        <f>IF(HLOOKUP(P$1,集計加工用!$B$1:$AL$47,ROW(),FALSE)=0,"NA",HLOOKUP(P$1,集計加工用!$B$1:$AL$47,ROW(),FALSE))</f>
        <v>1.1034999999999999</v>
      </c>
      <c r="Q32">
        <f>IF(HLOOKUP(Q$1,集計加工用!$B$1:$AL$47,ROW(),FALSE)=0,"NA",HLOOKUP(Q$1,集計加工用!$B$1:$AL$47,ROW(),FALSE))</f>
        <v>0.71206143811477352</v>
      </c>
    </row>
    <row r="33" spans="1:17" x14ac:dyDescent="0.25">
      <c r="A33">
        <v>2026</v>
      </c>
      <c r="B33">
        <f>IF(HLOOKUP(B$1,集計加工用!$B$1:$AL$47,ROW(),FALSE)=0,"NA",HLOOKUP(B$1,集計加工用!$B$1:$AL$47,ROW(),FALSE))</f>
        <v>686325.04820000008</v>
      </c>
      <c r="C33">
        <f>IF(HLOOKUP(C$1,集計加工用!$B$1:$AL$47,ROW(),FALSE)=0,"NA",HLOOKUP(C$1,集計加工用!$B$1:$AL$47,ROW(),FALSE))</f>
        <v>363541.99200000003</v>
      </c>
      <c r="D33">
        <f>IF(HLOOKUP(D$1,集計加工用!$B$1:$AL$47,ROW(),FALSE)=0,"NA",HLOOKUP(D$1,集計加工用!$B$1:$AL$47,ROW(),FALSE))</f>
        <v>156744.06</v>
      </c>
      <c r="E33" t="str">
        <f>IF(HLOOKUP(E$1,集計加工用!$B$1:$AL$47,ROW(),FALSE)=0,"NA",HLOOKUP(E$1,集計加工用!$B$1:$AL$47,ROW(),FALSE))</f>
        <v>NA</v>
      </c>
      <c r="F33" t="str">
        <f>IF(HLOOKUP(F$1,集計加工用!$B$1:$AL$47,ROW(),FALSE)=0,"NA",HLOOKUP(F$1,集計加工用!$B$1:$AL$47,ROW(),FALSE))</f>
        <v>NA</v>
      </c>
      <c r="G33">
        <f>IF(HLOOKUP(G$1,集計加工用!$B$1:$AL$47,ROW(),FALSE)=0,"NA",HLOOKUP(G$1,集計加工用!$B$1:$AL$47,ROW(),FALSE))</f>
        <v>114.444</v>
      </c>
      <c r="H33">
        <f>IF(HLOOKUP(H$1,集計加工用!$B$1:$AL$47,ROW(),FALSE)=0,"NA",HLOOKUP(H$1,集計加工用!$B$1:$AL$47,ROW(),FALSE))</f>
        <v>116.17800000000001</v>
      </c>
      <c r="I33">
        <f>IF(HLOOKUP(I$1,集計加工用!$B$1:$AL$47,ROW(),FALSE)=0,"NA",HLOOKUP(I$1,集計加工用!$B$1:$AL$47,ROW(),FALSE))</f>
        <v>109306</v>
      </c>
      <c r="J33" t="str">
        <f>IF(HLOOKUP(J$1,集計加工用!$B$1:$AL$47,ROW(),FALSE)=0,"NA",HLOOKUP(J$1,集計加工用!$B$1:$AL$47,ROW(),FALSE))</f>
        <v>NA</v>
      </c>
      <c r="K33" t="str">
        <f>IF(HLOOKUP(K$1,集計加工用!$B$1:$AL$47,ROW(),FALSE)=0,"NA",HLOOKUP(K$1,集計加工用!$B$1:$AL$47,ROW(),FALSE))</f>
        <v>NA</v>
      </c>
      <c r="L33" t="str">
        <f>IF(HLOOKUP(L$1,集計加工用!$B$1:$AL$47,ROW(),FALSE)=0,"NA",HLOOKUP(L$1,集計加工用!$B$1:$AL$47,ROW(),FALSE))</f>
        <v>NA</v>
      </c>
      <c r="M33" t="str">
        <f>IF(HLOOKUP(M$1,集計加工用!$B$1:$AL$47,ROW(),FALSE)=0,"NA",HLOOKUP(M$1,集計加工用!$B$1:$AL$47,ROW(),FALSE))</f>
        <v>NA</v>
      </c>
      <c r="N33">
        <f>IF(HLOOKUP(N$1,集計加工用!$B$1:$AL$47,ROW(),FALSE)=0,"NA",HLOOKUP(N$1,集計加工用!$B$1:$AL$47,ROW(),FALSE))</f>
        <v>99.023738838709704</v>
      </c>
      <c r="O33">
        <f>IF(HLOOKUP(O$1,集計加工用!$B$1:$AL$47,ROW(),FALSE)=0,"NA",HLOOKUP(O$1,集計加工用!$B$1:$AL$47,ROW(),FALSE))</f>
        <v>114.0261</v>
      </c>
      <c r="P33" t="str">
        <f>IF(HLOOKUP(P$1,集計加工用!$B$1:$AL$47,ROW(),FALSE)=0,"NA",HLOOKUP(P$1,集計加工用!$B$1:$AL$47,ROW(),FALSE))</f>
        <v>NA</v>
      </c>
      <c r="Q33">
        <f>IF(HLOOKUP(Q$1,集計加工用!$B$1:$AL$47,ROW(),FALSE)=0,"NA",HLOOKUP(Q$1,集計加工用!$B$1:$AL$47,ROW(),FALSE))</f>
        <v>0.71206143811477352</v>
      </c>
    </row>
    <row r="34" spans="1:17" x14ac:dyDescent="0.25">
      <c r="A34">
        <v>2027</v>
      </c>
      <c r="B34">
        <f>IF(HLOOKUP(B$1,集計加工用!$B$1:$AL$47,ROW(),FALSE)=0,"NA",HLOOKUP(B$1,集計加工用!$B$1:$AL$47,ROW(),FALSE))</f>
        <v>697306.24897120008</v>
      </c>
      <c r="C34">
        <f>IF(HLOOKUP(C$1,集計加工用!$B$1:$AL$47,ROW(),FALSE)=0,"NA",HLOOKUP(C$1,集計加工用!$B$1:$AL$47,ROW(),FALSE))</f>
        <v>369358.663872</v>
      </c>
      <c r="D34">
        <f>IF(HLOOKUP(D$1,集計加工用!$B$1:$AL$47,ROW(),FALSE)=0,"NA",HLOOKUP(D$1,集計加工用!$B$1:$AL$47,ROW(),FALSE))</f>
        <v>159251.96496000001</v>
      </c>
      <c r="E34" t="str">
        <f>IF(HLOOKUP(E$1,集計加工用!$B$1:$AL$47,ROW(),FALSE)=0,"NA",HLOOKUP(E$1,集計加工用!$B$1:$AL$47,ROW(),FALSE))</f>
        <v>NA</v>
      </c>
      <c r="F34" t="str">
        <f>IF(HLOOKUP(F$1,集計加工用!$B$1:$AL$47,ROW(),FALSE)=0,"NA",HLOOKUP(F$1,集計加工用!$B$1:$AL$47,ROW(),FALSE))</f>
        <v>NA</v>
      </c>
      <c r="G34">
        <f>IF(HLOOKUP(G$1,集計加工用!$B$1:$AL$47,ROW(),FALSE)=0,"NA",HLOOKUP(G$1,集計加工用!$B$1:$AL$47,ROW(),FALSE))</f>
        <v>115.702884</v>
      </c>
      <c r="H34">
        <f>IF(HLOOKUP(H$1,集計加工用!$B$1:$AL$47,ROW(),FALSE)=0,"NA",HLOOKUP(H$1,集計加工用!$B$1:$AL$47,ROW(),FALSE))</f>
        <v>117.455958</v>
      </c>
      <c r="I34">
        <f>IF(HLOOKUP(I$1,集計加工用!$B$1:$AL$47,ROW(),FALSE)=0,"NA",HLOOKUP(I$1,集計加工用!$B$1:$AL$47,ROW(),FALSE))</f>
        <v>108944</v>
      </c>
      <c r="J34" t="str">
        <f>IF(HLOOKUP(J$1,集計加工用!$B$1:$AL$47,ROW(),FALSE)=0,"NA",HLOOKUP(J$1,集計加工用!$B$1:$AL$47,ROW(),FALSE))</f>
        <v>NA</v>
      </c>
      <c r="K34" t="str">
        <f>IF(HLOOKUP(K$1,集計加工用!$B$1:$AL$47,ROW(),FALSE)=0,"NA",HLOOKUP(K$1,集計加工用!$B$1:$AL$47,ROW(),FALSE))</f>
        <v>NA</v>
      </c>
      <c r="L34" t="str">
        <f>IF(HLOOKUP(L$1,集計加工用!$B$1:$AL$47,ROW(),FALSE)=0,"NA",HLOOKUP(L$1,集計加工用!$B$1:$AL$47,ROW(),FALSE))</f>
        <v>NA</v>
      </c>
      <c r="M34" t="str">
        <f>IF(HLOOKUP(M$1,集計加工用!$B$1:$AL$47,ROW(),FALSE)=0,"NA",HLOOKUP(M$1,集計加工用!$B$1:$AL$47,ROW(),FALSE))</f>
        <v>NA</v>
      </c>
      <c r="N34">
        <f>IF(HLOOKUP(N$1,集計加工用!$B$1:$AL$47,ROW(),FALSE)=0,"NA",HLOOKUP(N$1,集計加工用!$B$1:$AL$47,ROW(),FALSE))</f>
        <v>98.439811424349642</v>
      </c>
      <c r="O34">
        <f>IF(HLOOKUP(O$1,集計加工用!$B$1:$AL$47,ROW(),FALSE)=0,"NA",HLOOKUP(O$1,集計加工用!$B$1:$AL$47,ROW(),FALSE))</f>
        <v>115.6224654</v>
      </c>
      <c r="P34" t="str">
        <f>IF(HLOOKUP(P$1,集計加工用!$B$1:$AL$47,ROW(),FALSE)=0,"NA",HLOOKUP(P$1,集計加工用!$B$1:$AL$47,ROW(),FALSE))</f>
        <v>NA</v>
      </c>
      <c r="Q34">
        <f>IF(HLOOKUP(Q$1,集計加工用!$B$1:$AL$47,ROW(),FALSE)=0,"NA",HLOOKUP(Q$1,集計加工用!$B$1:$AL$47,ROW(),FALSE))</f>
        <v>0.71206143811477352</v>
      </c>
    </row>
    <row r="35" spans="1:17" x14ac:dyDescent="0.25">
      <c r="A35">
        <v>2028</v>
      </c>
      <c r="B35">
        <f>IF(HLOOKUP(B$1,集計加工用!$B$1:$AL$47,ROW(),FALSE)=0,"NA",HLOOKUP(B$1,集計加工用!$B$1:$AL$47,ROW(),FALSE))</f>
        <v>705673.92395885452</v>
      </c>
      <c r="C35">
        <f>IF(HLOOKUP(C$1,集計加工用!$B$1:$AL$47,ROW(),FALSE)=0,"NA",HLOOKUP(C$1,集計加工用!$B$1:$AL$47,ROW(),FALSE))</f>
        <v>373790.96783846401</v>
      </c>
      <c r="D35">
        <f>IF(HLOOKUP(D$1,集計加工用!$B$1:$AL$47,ROW(),FALSE)=0,"NA",HLOOKUP(D$1,集計加工用!$B$1:$AL$47,ROW(),FALSE))</f>
        <v>161162.98853952001</v>
      </c>
      <c r="E35" t="str">
        <f>IF(HLOOKUP(E$1,集計加工用!$B$1:$AL$47,ROW(),FALSE)=0,"NA",HLOOKUP(E$1,集計加工用!$B$1:$AL$47,ROW(),FALSE))</f>
        <v>NA</v>
      </c>
      <c r="F35" t="str">
        <f>IF(HLOOKUP(F$1,集計加工用!$B$1:$AL$47,ROW(),FALSE)=0,"NA",HLOOKUP(F$1,集計加工用!$B$1:$AL$47,ROW(),FALSE))</f>
        <v>NA</v>
      </c>
      <c r="G35">
        <f>IF(HLOOKUP(G$1,集計加工用!$B$1:$AL$47,ROW(),FALSE)=0,"NA",HLOOKUP(G$1,集計加工用!$B$1:$AL$47,ROW(),FALSE))</f>
        <v>116.51280418799999</v>
      </c>
      <c r="H35">
        <f>IF(HLOOKUP(H$1,集計加工用!$B$1:$AL$47,ROW(),FALSE)=0,"NA",HLOOKUP(H$1,集計加工用!$B$1:$AL$47,ROW(),FALSE))</f>
        <v>118.27814970599998</v>
      </c>
      <c r="I35">
        <f>IF(HLOOKUP(I$1,集計加工用!$B$1:$AL$47,ROW(),FALSE)=0,"NA",HLOOKUP(I$1,集計加工用!$B$1:$AL$47,ROW(),FALSE))</f>
        <v>108564</v>
      </c>
      <c r="J35" t="str">
        <f>IF(HLOOKUP(J$1,集計加工用!$B$1:$AL$47,ROW(),FALSE)=0,"NA",HLOOKUP(J$1,集計加工用!$B$1:$AL$47,ROW(),FALSE))</f>
        <v>NA</v>
      </c>
      <c r="K35" t="str">
        <f>IF(HLOOKUP(K$1,集計加工用!$B$1:$AL$47,ROW(),FALSE)=0,"NA",HLOOKUP(K$1,集計加工用!$B$1:$AL$47,ROW(),FALSE))</f>
        <v>NA</v>
      </c>
      <c r="L35" t="str">
        <f>IF(HLOOKUP(L$1,集計加工用!$B$1:$AL$47,ROW(),FALSE)=0,"NA",HLOOKUP(L$1,集計加工用!$B$1:$AL$47,ROW(),FALSE))</f>
        <v>NA</v>
      </c>
      <c r="M35" t="str">
        <f>IF(HLOOKUP(M$1,集計加工用!$B$1:$AL$47,ROW(),FALSE)=0,"NA",HLOOKUP(M$1,集計加工用!$B$1:$AL$47,ROW(),FALSE))</f>
        <v>NA</v>
      </c>
      <c r="N35">
        <f>IF(HLOOKUP(N$1,集計加工用!$B$1:$AL$47,ROW(),FALSE)=0,"NA",HLOOKUP(N$1,集計加工用!$B$1:$AL$47,ROW(),FALSE))</f>
        <v>97.908772480145018</v>
      </c>
      <c r="O35">
        <f>IF(HLOOKUP(O$1,集計加工用!$B$1:$AL$47,ROW(),FALSE)=0,"NA",HLOOKUP(O$1,集計加工用!$B$1:$AL$47,ROW(),FALSE))</f>
        <v>116.89431251939999</v>
      </c>
      <c r="P35" t="str">
        <f>IF(HLOOKUP(P$1,集計加工用!$B$1:$AL$47,ROW(),FALSE)=0,"NA",HLOOKUP(P$1,集計加工用!$B$1:$AL$47,ROW(),FALSE))</f>
        <v>NA</v>
      </c>
      <c r="Q35">
        <f>IF(HLOOKUP(Q$1,集計加工用!$B$1:$AL$47,ROW(),FALSE)=0,"NA",HLOOKUP(Q$1,集計加工用!$B$1:$AL$47,ROW(),FALSE))</f>
        <v>0.71206143811477352</v>
      </c>
    </row>
    <row r="36" spans="1:17" x14ac:dyDescent="0.25">
      <c r="A36">
        <v>2029</v>
      </c>
      <c r="B36">
        <f>IF(HLOOKUP(B$1,集計加工用!$B$1:$AL$47,ROW(),FALSE)=0,"NA",HLOOKUP(B$1,集計加工用!$B$1:$AL$47,ROW(),FALSE))</f>
        <v>714142.01104636083</v>
      </c>
      <c r="C36">
        <f>IF(HLOOKUP(C$1,集計加工用!$B$1:$AL$47,ROW(),FALSE)=0,"NA",HLOOKUP(C$1,集計加工用!$B$1:$AL$47,ROW(),FALSE))</f>
        <v>378276.4594525256</v>
      </c>
      <c r="D36">
        <f>IF(HLOOKUP(D$1,集計加工用!$B$1:$AL$47,ROW(),FALSE)=0,"NA",HLOOKUP(D$1,集計加工用!$B$1:$AL$47,ROW(),FALSE))</f>
        <v>163096.94440199426</v>
      </c>
      <c r="E36" t="str">
        <f>IF(HLOOKUP(E$1,集計加工用!$B$1:$AL$47,ROW(),FALSE)=0,"NA",HLOOKUP(E$1,集計加工用!$B$1:$AL$47,ROW(),FALSE))</f>
        <v>NA</v>
      </c>
      <c r="F36" t="str">
        <f>IF(HLOOKUP(F$1,集計加工用!$B$1:$AL$47,ROW(),FALSE)=0,"NA",HLOOKUP(F$1,集計加工用!$B$1:$AL$47,ROW(),FALSE))</f>
        <v>NA</v>
      </c>
      <c r="G36">
        <f>IF(HLOOKUP(G$1,集計加工用!$B$1:$AL$47,ROW(),FALSE)=0,"NA",HLOOKUP(G$1,集計加工用!$B$1:$AL$47,ROW(),FALSE))</f>
        <v>117.32839381731598</v>
      </c>
      <c r="H36">
        <f>IF(HLOOKUP(H$1,集計加工用!$B$1:$AL$47,ROW(),FALSE)=0,"NA",HLOOKUP(H$1,集計加工用!$B$1:$AL$47,ROW(),FALSE))</f>
        <v>119.10609675394197</v>
      </c>
      <c r="I36">
        <f>IF(HLOOKUP(I$1,集計加工用!$B$1:$AL$47,ROW(),FALSE)=0,"NA",HLOOKUP(I$1,集計加工用!$B$1:$AL$47,ROW(),FALSE))</f>
        <v>108146</v>
      </c>
      <c r="J36" t="str">
        <f>IF(HLOOKUP(J$1,集計加工用!$B$1:$AL$47,ROW(),FALSE)=0,"NA",HLOOKUP(J$1,集計加工用!$B$1:$AL$47,ROW(),FALSE))</f>
        <v>NA</v>
      </c>
      <c r="K36" t="str">
        <f>IF(HLOOKUP(K$1,集計加工用!$B$1:$AL$47,ROW(),FALSE)=0,"NA",HLOOKUP(K$1,集計加工用!$B$1:$AL$47,ROW(),FALSE))</f>
        <v>NA</v>
      </c>
      <c r="L36" t="str">
        <f>IF(HLOOKUP(L$1,集計加工用!$B$1:$AL$47,ROW(),FALSE)=0,"NA",HLOOKUP(L$1,集計加工用!$B$1:$AL$47,ROW(),FALSE))</f>
        <v>NA</v>
      </c>
      <c r="M36" t="str">
        <f>IF(HLOOKUP(M$1,集計加工用!$B$1:$AL$47,ROW(),FALSE)=0,"NA",HLOOKUP(M$1,集計加工用!$B$1:$AL$47,ROW(),FALSE))</f>
        <v>NA</v>
      </c>
      <c r="N36">
        <f>IF(HLOOKUP(N$1,集計加工用!$B$1:$AL$47,ROW(),FALSE)=0,"NA",HLOOKUP(N$1,集計加工用!$B$1:$AL$47,ROW(),FALSE))</f>
        <v>97.321213598466571</v>
      </c>
      <c r="O36">
        <f>IF(HLOOKUP(O$1,集計加工用!$B$1:$AL$47,ROW(),FALSE)=0,"NA",HLOOKUP(O$1,集計加工用!$B$1:$AL$47,ROW(),FALSE))</f>
        <v>118.18014995711337</v>
      </c>
      <c r="P36" t="str">
        <f>IF(HLOOKUP(P$1,集計加工用!$B$1:$AL$47,ROW(),FALSE)=0,"NA",HLOOKUP(P$1,集計加工用!$B$1:$AL$47,ROW(),FALSE))</f>
        <v>NA</v>
      </c>
      <c r="Q36">
        <f>IF(HLOOKUP(Q$1,集計加工用!$B$1:$AL$47,ROW(),FALSE)=0,"NA",HLOOKUP(Q$1,集計加工用!$B$1:$AL$47,ROW(),FALSE))</f>
        <v>0.71206143811477352</v>
      </c>
    </row>
    <row r="37" spans="1:17" x14ac:dyDescent="0.25">
      <c r="A37">
        <v>2030</v>
      </c>
      <c r="B37">
        <f>IF(HLOOKUP(B$1,集計加工用!$B$1:$AL$47,ROW(),FALSE)=0,"NA",HLOOKUP(B$1,集計加工用!$B$1:$AL$47,ROW(),FALSE))</f>
        <v>722711.71517891716</v>
      </c>
      <c r="C37">
        <f>IF(HLOOKUP(C$1,集計加工用!$B$1:$AL$47,ROW(),FALSE)=0,"NA",HLOOKUP(C$1,集計加工用!$B$1:$AL$47,ROW(),FALSE))</f>
        <v>382815.77696595591</v>
      </c>
      <c r="D37">
        <f>IF(HLOOKUP(D$1,集計加工用!$B$1:$AL$47,ROW(),FALSE)=0,"NA",HLOOKUP(D$1,集計加工用!$B$1:$AL$47,ROW(),FALSE))</f>
        <v>165054.10773481819</v>
      </c>
      <c r="E37" t="str">
        <f>IF(HLOOKUP(E$1,集計加工用!$B$1:$AL$47,ROW(),FALSE)=0,"NA",HLOOKUP(E$1,集計加工用!$B$1:$AL$47,ROW(),FALSE))</f>
        <v>NA</v>
      </c>
      <c r="F37" t="str">
        <f>IF(HLOOKUP(F$1,集計加工用!$B$1:$AL$47,ROW(),FALSE)=0,"NA",HLOOKUP(F$1,集計加工用!$B$1:$AL$47,ROW(),FALSE))</f>
        <v>NA</v>
      </c>
      <c r="G37">
        <f>IF(HLOOKUP(G$1,集計加工用!$B$1:$AL$47,ROW(),FALSE)=0,"NA",HLOOKUP(G$1,集計加工用!$B$1:$AL$47,ROW(),FALSE))</f>
        <v>118.14969257403719</v>
      </c>
      <c r="H37">
        <f>IF(HLOOKUP(H$1,集計加工用!$B$1:$AL$47,ROW(),FALSE)=0,"NA",HLOOKUP(H$1,集計加工用!$B$1:$AL$47,ROW(),FALSE))</f>
        <v>119.93983943121955</v>
      </c>
      <c r="I37">
        <f>IF(HLOOKUP(I$1,集計加工用!$B$1:$AL$47,ROW(),FALSE)=0,"NA",HLOOKUP(I$1,集計加工用!$B$1:$AL$47,ROW(),FALSE))</f>
        <v>107719</v>
      </c>
      <c r="J37" t="str">
        <f>IF(HLOOKUP(J$1,集計加工用!$B$1:$AL$47,ROW(),FALSE)=0,"NA",HLOOKUP(J$1,集計加工用!$B$1:$AL$47,ROW(),FALSE))</f>
        <v>NA</v>
      </c>
      <c r="K37" t="str">
        <f>IF(HLOOKUP(K$1,集計加工用!$B$1:$AL$47,ROW(),FALSE)=0,"NA",HLOOKUP(K$1,集計加工用!$B$1:$AL$47,ROW(),FALSE))</f>
        <v>NA</v>
      </c>
      <c r="L37" t="str">
        <f>IF(HLOOKUP(L$1,集計加工用!$B$1:$AL$47,ROW(),FALSE)=0,"NA",HLOOKUP(L$1,集計加工用!$B$1:$AL$47,ROW(),FALSE))</f>
        <v>NA</v>
      </c>
      <c r="M37" t="str">
        <f>IF(HLOOKUP(M$1,集計加工用!$B$1:$AL$47,ROW(),FALSE)=0,"NA",HLOOKUP(M$1,集計加工用!$B$1:$AL$47,ROW(),FALSE))</f>
        <v>NA</v>
      </c>
      <c r="N37">
        <f>IF(HLOOKUP(N$1,集計加工用!$B$1:$AL$47,ROW(),FALSE)=0,"NA",HLOOKUP(N$1,集計加工用!$B$1:$AL$47,ROW(),FALSE))</f>
        <v>96.68423568379643</v>
      </c>
      <c r="O37">
        <f>IF(HLOOKUP(O$1,集計加工用!$B$1:$AL$47,ROW(),FALSE)=0,"NA",HLOOKUP(O$1,集計加工用!$B$1:$AL$47,ROW(),FALSE))</f>
        <v>119.48013160664161</v>
      </c>
      <c r="P37" t="str">
        <f>IF(HLOOKUP(P$1,集計加工用!$B$1:$AL$47,ROW(),FALSE)=0,"NA",HLOOKUP(P$1,集計加工用!$B$1:$AL$47,ROW(),FALSE))</f>
        <v>NA</v>
      </c>
      <c r="Q37">
        <f>IF(HLOOKUP(Q$1,集計加工用!$B$1:$AL$47,ROW(),FALSE)=0,"NA",HLOOKUP(Q$1,集計加工用!$B$1:$AL$47,ROW(),FALSE))</f>
        <v>0.71206143811477352</v>
      </c>
    </row>
    <row r="38" spans="1:17" x14ac:dyDescent="0.25">
      <c r="A38">
        <v>2031</v>
      </c>
      <c r="B38">
        <f>IF(HLOOKUP(B$1,集計加工用!$B$1:$AL$47,ROW(),FALSE)=0,"NA",HLOOKUP(B$1,集計加工用!$B$1:$AL$47,ROW(),FALSE))</f>
        <v>731384.25576106412</v>
      </c>
      <c r="C38">
        <f>IF(HLOOKUP(C$1,集計加工用!$B$1:$AL$47,ROW(),FALSE)=0,"NA",HLOOKUP(C$1,集計加工用!$B$1:$AL$47,ROW(),FALSE))</f>
        <v>387409.56628954737</v>
      </c>
      <c r="D38">
        <f>IF(HLOOKUP(D$1,集計加工用!$B$1:$AL$47,ROW(),FALSE)=0,"NA",HLOOKUP(D$1,集計加工用!$B$1:$AL$47,ROW(),FALSE))</f>
        <v>167034.75702763602</v>
      </c>
      <c r="E38" t="str">
        <f>IF(HLOOKUP(E$1,集計加工用!$B$1:$AL$47,ROW(),FALSE)=0,"NA",HLOOKUP(E$1,集計加工用!$B$1:$AL$47,ROW(),FALSE))</f>
        <v>NA</v>
      </c>
      <c r="F38" t="str">
        <f>IF(HLOOKUP(F$1,集計加工用!$B$1:$AL$47,ROW(),FALSE)=0,"NA",HLOOKUP(F$1,集計加工用!$B$1:$AL$47,ROW(),FALSE))</f>
        <v>NA</v>
      </c>
      <c r="G38">
        <f>IF(HLOOKUP(G$1,集計加工用!$B$1:$AL$47,ROW(),FALSE)=0,"NA",HLOOKUP(G$1,集計加工用!$B$1:$AL$47,ROW(),FALSE))</f>
        <v>118.97674042205544</v>
      </c>
      <c r="H38">
        <f>IF(HLOOKUP(H$1,集計加工用!$B$1:$AL$47,ROW(),FALSE)=0,"NA",HLOOKUP(H$1,集計加工用!$B$1:$AL$47,ROW(),FALSE))</f>
        <v>120.77941830723807</v>
      </c>
      <c r="I38">
        <f>IF(HLOOKUP(I$1,集計加工用!$B$1:$AL$47,ROW(),FALSE)=0,"NA",HLOOKUP(I$1,集計加工用!$B$1:$AL$47,ROW(),FALSE))</f>
        <v>107255</v>
      </c>
      <c r="J38" t="str">
        <f>IF(HLOOKUP(J$1,集計加工用!$B$1:$AL$47,ROW(),FALSE)=0,"NA",HLOOKUP(J$1,集計加工用!$B$1:$AL$47,ROW(),FALSE))</f>
        <v>NA</v>
      </c>
      <c r="K38" t="str">
        <f>IF(HLOOKUP(K$1,集計加工用!$B$1:$AL$47,ROW(),FALSE)=0,"NA",HLOOKUP(K$1,集計加工用!$B$1:$AL$47,ROW(),FALSE))</f>
        <v>NA</v>
      </c>
      <c r="L38" t="str">
        <f>IF(HLOOKUP(L$1,集計加工用!$B$1:$AL$47,ROW(),FALSE)=0,"NA",HLOOKUP(L$1,集計加工用!$B$1:$AL$47,ROW(),FALSE))</f>
        <v>NA</v>
      </c>
      <c r="M38" t="str">
        <f>IF(HLOOKUP(M$1,集計加工用!$B$1:$AL$47,ROW(),FALSE)=0,"NA",HLOOKUP(M$1,集計加工用!$B$1:$AL$47,ROW(),FALSE))</f>
        <v>NA</v>
      </c>
      <c r="N38">
        <f>IF(HLOOKUP(N$1,集計加工用!$B$1:$AL$47,ROW(),FALSE)=0,"NA",HLOOKUP(N$1,集計加工用!$B$1:$AL$47,ROW(),FALSE))</f>
        <v>95.98686569240455</v>
      </c>
      <c r="O38">
        <f>IF(HLOOKUP(O$1,集計加工用!$B$1:$AL$47,ROW(),FALSE)=0,"NA",HLOOKUP(O$1,集計加工用!$B$1:$AL$47,ROW(),FALSE))</f>
        <v>120.79441305431465</v>
      </c>
      <c r="P38" t="str">
        <f>IF(HLOOKUP(P$1,集計加工用!$B$1:$AL$47,ROW(),FALSE)=0,"NA",HLOOKUP(P$1,集計加工用!$B$1:$AL$47,ROW(),FALSE))</f>
        <v>NA</v>
      </c>
      <c r="Q38">
        <f>IF(HLOOKUP(Q$1,集計加工用!$B$1:$AL$47,ROW(),FALSE)=0,"NA",HLOOKUP(Q$1,集計加工用!$B$1:$AL$47,ROW(),FALSE))</f>
        <v>0.71206143811477352</v>
      </c>
    </row>
    <row r="39" spans="1:17" x14ac:dyDescent="0.25">
      <c r="A39">
        <v>2032</v>
      </c>
      <c r="B39">
        <f>IF(HLOOKUP(B$1,集計加工用!$B$1:$AL$47,ROW(),FALSE)=0,"NA",HLOOKUP(B$1,集計加工用!$B$1:$AL$47,ROW(),FALSE))</f>
        <v>740160.86683019693</v>
      </c>
      <c r="C39">
        <f>IF(HLOOKUP(C$1,集計加工用!$B$1:$AL$47,ROW(),FALSE)=0,"NA",HLOOKUP(C$1,集計加工用!$B$1:$AL$47,ROW(),FALSE))</f>
        <v>392058.48108502192</v>
      </c>
      <c r="D39">
        <f>IF(HLOOKUP(D$1,集計加工用!$B$1:$AL$47,ROW(),FALSE)=0,"NA",HLOOKUP(D$1,集計加工用!$B$1:$AL$47,ROW(),FALSE))</f>
        <v>169039.17411196764</v>
      </c>
      <c r="E39" t="str">
        <f>IF(HLOOKUP(E$1,集計加工用!$B$1:$AL$47,ROW(),FALSE)=0,"NA",HLOOKUP(E$1,集計加工用!$B$1:$AL$47,ROW(),FALSE))</f>
        <v>NA</v>
      </c>
      <c r="F39" t="str">
        <f>IF(HLOOKUP(F$1,集計加工用!$B$1:$AL$47,ROW(),FALSE)=0,"NA",HLOOKUP(F$1,集計加工用!$B$1:$AL$47,ROW(),FALSE))</f>
        <v>NA</v>
      </c>
      <c r="G39">
        <f>IF(HLOOKUP(G$1,集計加工用!$B$1:$AL$47,ROW(),FALSE)=0,"NA",HLOOKUP(G$1,集計加工用!$B$1:$AL$47,ROW(),FALSE))</f>
        <v>119.80957760500982</v>
      </c>
      <c r="H39">
        <f>IF(HLOOKUP(H$1,集計加工用!$B$1:$AL$47,ROW(),FALSE)=0,"NA",HLOOKUP(H$1,集計加工用!$B$1:$AL$47,ROW(),FALSE))</f>
        <v>121.62487423538873</v>
      </c>
      <c r="I39">
        <f>IF(HLOOKUP(I$1,集計加工用!$B$1:$AL$47,ROW(),FALSE)=0,"NA",HLOOKUP(I$1,集計加工用!$B$1:$AL$47,ROW(),FALSE))</f>
        <v>106740</v>
      </c>
      <c r="J39" t="str">
        <f>IF(HLOOKUP(J$1,集計加工用!$B$1:$AL$47,ROW(),FALSE)=0,"NA",HLOOKUP(J$1,集計加工用!$B$1:$AL$47,ROW(),FALSE))</f>
        <v>NA</v>
      </c>
      <c r="K39" t="str">
        <f>IF(HLOOKUP(K$1,集計加工用!$B$1:$AL$47,ROW(),FALSE)=0,"NA",HLOOKUP(K$1,集計加工用!$B$1:$AL$47,ROW(),FALSE))</f>
        <v>NA</v>
      </c>
      <c r="L39" t="str">
        <f>IF(HLOOKUP(L$1,集計加工用!$B$1:$AL$47,ROW(),FALSE)=0,"NA",HLOOKUP(L$1,集計加工用!$B$1:$AL$47,ROW(),FALSE))</f>
        <v>NA</v>
      </c>
      <c r="M39" t="str">
        <f>IF(HLOOKUP(M$1,集計加工用!$B$1:$AL$47,ROW(),FALSE)=0,"NA",HLOOKUP(M$1,集計加工用!$B$1:$AL$47,ROW(),FALSE))</f>
        <v>NA</v>
      </c>
      <c r="N39">
        <f>IF(HLOOKUP(N$1,集計加工用!$B$1:$AL$47,ROW(),FALSE)=0,"NA",HLOOKUP(N$1,集計加工用!$B$1:$AL$47,ROW(),FALSE))</f>
        <v>95.366065794485991</v>
      </c>
      <c r="O39">
        <f>IF(HLOOKUP(O$1,集計加工用!$B$1:$AL$47,ROW(),FALSE)=0,"NA",HLOOKUP(O$1,集計加工用!$B$1:$AL$47,ROW(),FALSE))</f>
        <v>122.1231515979121</v>
      </c>
      <c r="P39" t="str">
        <f>IF(HLOOKUP(P$1,集計加工用!$B$1:$AL$47,ROW(),FALSE)=0,"NA",HLOOKUP(P$1,集計加工用!$B$1:$AL$47,ROW(),FALSE))</f>
        <v>NA</v>
      </c>
      <c r="Q39">
        <f>IF(HLOOKUP(Q$1,集計加工用!$B$1:$AL$47,ROW(),FALSE)=0,"NA",HLOOKUP(Q$1,集計加工用!$B$1:$AL$47,ROW(),FALSE))</f>
        <v>0.71206143811477352</v>
      </c>
    </row>
    <row r="40" spans="1:17" x14ac:dyDescent="0.25">
      <c r="A40">
        <v>2033</v>
      </c>
      <c r="B40">
        <f>IF(HLOOKUP(B$1,集計加工用!$B$1:$AL$47,ROW(),FALSE)=0,"NA",HLOOKUP(B$1,集計加工用!$B$1:$AL$47,ROW(),FALSE))</f>
        <v>749042.7972321593</v>
      </c>
      <c r="C40">
        <f>IF(HLOOKUP(C$1,集計加工用!$B$1:$AL$47,ROW(),FALSE)=0,"NA",HLOOKUP(C$1,集計加工用!$B$1:$AL$47,ROW(),FALSE))</f>
        <v>396763.18285804219</v>
      </c>
      <c r="D40">
        <f>IF(HLOOKUP(D$1,集計加工用!$B$1:$AL$47,ROW(),FALSE)=0,"NA",HLOOKUP(D$1,集計加工用!$B$1:$AL$47,ROW(),FALSE))</f>
        <v>171067.64420131125</v>
      </c>
      <c r="E40" t="str">
        <f>IF(HLOOKUP(E$1,集計加工用!$B$1:$AL$47,ROW(),FALSE)=0,"NA",HLOOKUP(E$1,集計加工用!$B$1:$AL$47,ROW(),FALSE))</f>
        <v>NA</v>
      </c>
      <c r="F40" t="str">
        <f>IF(HLOOKUP(F$1,集計加工用!$B$1:$AL$47,ROW(),FALSE)=0,"NA",HLOOKUP(F$1,集計加工用!$B$1:$AL$47,ROW(),FALSE))</f>
        <v>NA</v>
      </c>
      <c r="G40">
        <f>IF(HLOOKUP(G$1,集計加工用!$B$1:$AL$47,ROW(),FALSE)=0,"NA",HLOOKUP(G$1,集計加工用!$B$1:$AL$47,ROW(),FALSE))</f>
        <v>120.64824464824488</v>
      </c>
      <c r="H40">
        <f>IF(HLOOKUP(H$1,集計加工用!$B$1:$AL$47,ROW(),FALSE)=0,"NA",HLOOKUP(H$1,集計加工用!$B$1:$AL$47,ROW(),FALSE))</f>
        <v>122.47624835503643</v>
      </c>
      <c r="I40">
        <f>IF(HLOOKUP(I$1,集計加工用!$B$1:$AL$47,ROW(),FALSE)=0,"NA",HLOOKUP(I$1,集計加工用!$B$1:$AL$47,ROW(),FALSE))</f>
        <v>106192</v>
      </c>
      <c r="J40" t="str">
        <f>IF(HLOOKUP(J$1,集計加工用!$B$1:$AL$47,ROW(),FALSE)=0,"NA",HLOOKUP(J$1,集計加工用!$B$1:$AL$47,ROW(),FALSE))</f>
        <v>NA</v>
      </c>
      <c r="K40" t="str">
        <f>IF(HLOOKUP(K$1,集計加工用!$B$1:$AL$47,ROW(),FALSE)=0,"NA",HLOOKUP(K$1,集計加工用!$B$1:$AL$47,ROW(),FALSE))</f>
        <v>NA</v>
      </c>
      <c r="L40" t="str">
        <f>IF(HLOOKUP(L$1,集計加工用!$B$1:$AL$47,ROW(),FALSE)=0,"NA",HLOOKUP(L$1,集計加工用!$B$1:$AL$47,ROW(),FALSE))</f>
        <v>NA</v>
      </c>
      <c r="M40" t="str">
        <f>IF(HLOOKUP(M$1,集計加工用!$B$1:$AL$47,ROW(),FALSE)=0,"NA",HLOOKUP(M$1,集計加工用!$B$1:$AL$47,ROW(),FALSE))</f>
        <v>NA</v>
      </c>
      <c r="N40">
        <f>IF(HLOOKUP(N$1,集計加工用!$B$1:$AL$47,ROW(),FALSE)=0,"NA",HLOOKUP(N$1,集計加工用!$B$1:$AL$47,ROW(),FALSE))</f>
        <v>94.699440969788242</v>
      </c>
      <c r="O40">
        <f>IF(HLOOKUP(O$1,集計加工用!$B$1:$AL$47,ROW(),FALSE)=0,"NA",HLOOKUP(O$1,集計加工用!$B$1:$AL$47,ROW(),FALSE))</f>
        <v>123.46650626548912</v>
      </c>
      <c r="P40" t="str">
        <f>IF(HLOOKUP(P$1,集計加工用!$B$1:$AL$47,ROW(),FALSE)=0,"NA",HLOOKUP(P$1,集計加工用!$B$1:$AL$47,ROW(),FALSE))</f>
        <v>NA</v>
      </c>
      <c r="Q40">
        <f>IF(HLOOKUP(Q$1,集計加工用!$B$1:$AL$47,ROW(),FALSE)=0,"NA",HLOOKUP(Q$1,集計加工用!$B$1:$AL$47,ROW(),FALSE))</f>
        <v>0.71206143811477352</v>
      </c>
    </row>
    <row r="41" spans="1:17" x14ac:dyDescent="0.25">
      <c r="A41">
        <v>2034</v>
      </c>
      <c r="B41">
        <f>IF(HLOOKUP(B$1,集計加工用!$B$1:$AL$47,ROW(),FALSE)=0,"NA",HLOOKUP(B$1,集計加工用!$B$1:$AL$47,ROW(),FALSE))</f>
        <v>757282.26800171298</v>
      </c>
      <c r="C41">
        <f>IF(HLOOKUP(C$1,集計加工用!$B$1:$AL$47,ROW(),FALSE)=0,"NA",HLOOKUP(C$1,集計加工用!$B$1:$AL$47,ROW(),FALSE))</f>
        <v>401127.57786948059</v>
      </c>
      <c r="D41">
        <f>IF(HLOOKUP(D$1,集計加工用!$B$1:$AL$47,ROW(),FALSE)=0,"NA",HLOOKUP(D$1,集計加工用!$B$1:$AL$47,ROW(),FALSE))</f>
        <v>172949.38828752565</v>
      </c>
      <c r="E41" t="str">
        <f>IF(HLOOKUP(E$1,集計加工用!$B$1:$AL$47,ROW(),FALSE)=0,"NA",HLOOKUP(E$1,集計加工用!$B$1:$AL$47,ROW(),FALSE))</f>
        <v>NA</v>
      </c>
      <c r="F41" t="str">
        <f>IF(HLOOKUP(F$1,集計加工用!$B$1:$AL$47,ROW(),FALSE)=0,"NA",HLOOKUP(F$1,集計加工用!$B$1:$AL$47,ROW(),FALSE))</f>
        <v>NA</v>
      </c>
      <c r="G41">
        <f>IF(HLOOKUP(G$1,集計加工用!$B$1:$AL$47,ROW(),FALSE)=0,"NA",HLOOKUP(G$1,集計加工用!$B$1:$AL$47,ROW(),FALSE))</f>
        <v>121.49278236078258</v>
      </c>
      <c r="H41">
        <f>IF(HLOOKUP(H$1,集計加工用!$B$1:$AL$47,ROW(),FALSE)=0,"NA",HLOOKUP(H$1,集計加工用!$B$1:$AL$47,ROW(),FALSE))</f>
        <v>123.33358209352167</v>
      </c>
      <c r="I41">
        <f>IF(HLOOKUP(I$1,集計加工用!$B$1:$AL$47,ROW(),FALSE)=0,"NA",HLOOKUP(I$1,集計加工用!$B$1:$AL$47,ROW(),FALSE))</f>
        <v>105591</v>
      </c>
      <c r="J41" t="str">
        <f>IF(HLOOKUP(J$1,集計加工用!$B$1:$AL$47,ROW(),FALSE)=0,"NA",HLOOKUP(J$1,集計加工用!$B$1:$AL$47,ROW(),FALSE))</f>
        <v>NA</v>
      </c>
      <c r="K41" t="str">
        <f>IF(HLOOKUP(K$1,集計加工用!$B$1:$AL$47,ROW(),FALSE)=0,"NA",HLOOKUP(K$1,集計加工用!$B$1:$AL$47,ROW(),FALSE))</f>
        <v>NA</v>
      </c>
      <c r="L41" t="str">
        <f>IF(HLOOKUP(L$1,集計加工用!$B$1:$AL$47,ROW(),FALSE)=0,"NA",HLOOKUP(L$1,集計加工用!$B$1:$AL$47,ROW(),FALSE))</f>
        <v>NA</v>
      </c>
      <c r="M41" t="str">
        <f>IF(HLOOKUP(M$1,集計加工用!$B$1:$AL$47,ROW(),FALSE)=0,"NA",HLOOKUP(M$1,集計加工用!$B$1:$AL$47,ROW(),FALSE))</f>
        <v>NA</v>
      </c>
      <c r="N41">
        <f>IF(HLOOKUP(N$1,集計加工用!$B$1:$AL$47,ROW(),FALSE)=0,"NA",HLOOKUP(N$1,集計加工用!$B$1:$AL$47,ROW(),FALSE))</f>
        <v>93.984438323874741</v>
      </c>
      <c r="O41">
        <f>IF(HLOOKUP(O$1,集計加工用!$B$1:$AL$47,ROW(),FALSE)=0,"NA",HLOOKUP(O$1,集計加工用!$B$1:$AL$47,ROW(),FALSE))</f>
        <v>124.82463783440949</v>
      </c>
      <c r="P41" t="str">
        <f>IF(HLOOKUP(P$1,集計加工用!$B$1:$AL$47,ROW(),FALSE)=0,"NA",HLOOKUP(P$1,集計加工用!$B$1:$AL$47,ROW(),FALSE))</f>
        <v>NA</v>
      </c>
      <c r="Q41">
        <f>IF(HLOOKUP(Q$1,集計加工用!$B$1:$AL$47,ROW(),FALSE)=0,"NA",HLOOKUP(Q$1,集計加工用!$B$1:$AL$47,ROW(),FALSE))</f>
        <v>0.71206143811477352</v>
      </c>
    </row>
    <row r="42" spans="1:17" x14ac:dyDescent="0.25">
      <c r="A42">
        <v>2035</v>
      </c>
      <c r="B42">
        <f>IF(HLOOKUP(B$1,集計加工用!$B$1:$AL$47,ROW(),FALSE)=0,"NA",HLOOKUP(B$1,集計加工用!$B$1:$AL$47,ROW(),FALSE))</f>
        <v>765612.37294973177</v>
      </c>
      <c r="C42">
        <f>IF(HLOOKUP(C$1,集計加工用!$B$1:$AL$47,ROW(),FALSE)=0,"NA",HLOOKUP(C$1,集計加工用!$B$1:$AL$47,ROW(),FALSE))</f>
        <v>405539.98122604482</v>
      </c>
      <c r="D42">
        <f>IF(HLOOKUP(D$1,集計加工用!$B$1:$AL$47,ROW(),FALSE)=0,"NA",HLOOKUP(D$1,集計加工用!$B$1:$AL$47,ROW(),FALSE))</f>
        <v>174851.83155868843</v>
      </c>
      <c r="E42" t="str">
        <f>IF(HLOOKUP(E$1,集計加工用!$B$1:$AL$47,ROW(),FALSE)=0,"NA",HLOOKUP(E$1,集計加工用!$B$1:$AL$47,ROW(),FALSE))</f>
        <v>NA</v>
      </c>
      <c r="F42" t="str">
        <f>IF(HLOOKUP(F$1,集計加工用!$B$1:$AL$47,ROW(),FALSE)=0,"NA",HLOOKUP(F$1,集計加工用!$B$1:$AL$47,ROW(),FALSE))</f>
        <v>NA</v>
      </c>
      <c r="G42">
        <f>IF(HLOOKUP(G$1,集計加工用!$B$1:$AL$47,ROW(),FALSE)=0,"NA",HLOOKUP(G$1,集計加工用!$B$1:$AL$47,ROW(),FALSE))</f>
        <v>122.34323183730805</v>
      </c>
      <c r="H42">
        <f>IF(HLOOKUP(H$1,集計加工用!$B$1:$AL$47,ROW(),FALSE)=0,"NA",HLOOKUP(H$1,集計加工用!$B$1:$AL$47,ROW(),FALSE))</f>
        <v>124.19691716817631</v>
      </c>
      <c r="I42">
        <f>IF(HLOOKUP(I$1,集計加工用!$B$1:$AL$47,ROW(),FALSE)=0,"NA",HLOOKUP(I$1,集計加工用!$B$1:$AL$47,ROW(),FALSE))</f>
        <v>104948</v>
      </c>
      <c r="J42" t="str">
        <f>IF(HLOOKUP(J$1,集計加工用!$B$1:$AL$47,ROW(),FALSE)=0,"NA",HLOOKUP(J$1,集計加工用!$B$1:$AL$47,ROW(),FALSE))</f>
        <v>NA</v>
      </c>
      <c r="K42" t="str">
        <f>IF(HLOOKUP(K$1,集計加工用!$B$1:$AL$47,ROW(),FALSE)=0,"NA",HLOOKUP(K$1,集計加工用!$B$1:$AL$47,ROW(),FALSE))</f>
        <v>NA</v>
      </c>
      <c r="L42" t="str">
        <f>IF(HLOOKUP(L$1,集計加工用!$B$1:$AL$47,ROW(),FALSE)=0,"NA",HLOOKUP(L$1,集計加工用!$B$1:$AL$47,ROW(),FALSE))</f>
        <v>NA</v>
      </c>
      <c r="M42" t="str">
        <f>IF(HLOOKUP(M$1,集計加工用!$B$1:$AL$47,ROW(),FALSE)=0,"NA",HLOOKUP(M$1,集計加工用!$B$1:$AL$47,ROW(),FALSE))</f>
        <v>NA</v>
      </c>
      <c r="N42">
        <f>IF(HLOOKUP(N$1,集計加工用!$B$1:$AL$47,ROW(),FALSE)=0,"NA",HLOOKUP(N$1,集計加工用!$B$1:$AL$47,ROW(),FALSE))</f>
        <v>93.290084104489878</v>
      </c>
      <c r="O42">
        <f>IF(HLOOKUP(O$1,集計加工用!$B$1:$AL$47,ROW(),FALSE)=0,"NA",HLOOKUP(O$1,集計加工用!$B$1:$AL$47,ROW(),FALSE))</f>
        <v>126.19770885058797</v>
      </c>
      <c r="P42" t="str">
        <f>IF(HLOOKUP(P$1,集計加工用!$B$1:$AL$47,ROW(),FALSE)=0,"NA",HLOOKUP(P$1,集計加工用!$B$1:$AL$47,ROW(),FALSE))</f>
        <v>NA</v>
      </c>
      <c r="Q42">
        <f>IF(HLOOKUP(Q$1,集計加工用!$B$1:$AL$47,ROW(),FALSE)=0,"NA",HLOOKUP(Q$1,集計加工用!$B$1:$AL$47,ROW(),FALSE))</f>
        <v>0.71206143811477352</v>
      </c>
    </row>
    <row r="43" spans="1:17" x14ac:dyDescent="0.25">
      <c r="A43">
        <v>2036</v>
      </c>
      <c r="B43">
        <f>IF(HLOOKUP(B$1,集計加工用!$B$1:$AL$47,ROW(),FALSE)=0,"NA",HLOOKUP(B$1,集計加工用!$B$1:$AL$47,ROW(),FALSE))</f>
        <v>773910.88647957356</v>
      </c>
      <c r="C43">
        <f>IF(HLOOKUP(C$1,集計加工用!$B$1:$AL$47,ROW(),FALSE)=0,"NA",HLOOKUP(C$1,集計加工用!$B$1:$AL$47,ROW(),FALSE))</f>
        <v>409935.65081028896</v>
      </c>
      <c r="D43">
        <f>IF(HLOOKUP(D$1,集計加工用!$B$1:$AL$47,ROW(),FALSE)=0,"NA",HLOOKUP(D$1,集計加工用!$B$1:$AL$47,ROW(),FALSE))</f>
        <v>176747.05992904116</v>
      </c>
      <c r="E43" t="str">
        <f>IF(HLOOKUP(E$1,集計加工用!$B$1:$AL$47,ROW(),FALSE)=0,"NA",HLOOKUP(E$1,集計加工用!$B$1:$AL$47,ROW(),FALSE))</f>
        <v>NA</v>
      </c>
      <c r="F43" t="str">
        <f>IF(HLOOKUP(F$1,集計加工用!$B$1:$AL$47,ROW(),FALSE)=0,"NA",HLOOKUP(F$1,集計加工用!$B$1:$AL$47,ROW(),FALSE))</f>
        <v>NA</v>
      </c>
      <c r="G43">
        <f>IF(HLOOKUP(G$1,集計加工用!$B$1:$AL$47,ROW(),FALSE)=0,"NA",HLOOKUP(G$1,集計加工用!$B$1:$AL$47,ROW(),FALSE))</f>
        <v>123.19963446016919</v>
      </c>
      <c r="H43">
        <f>IF(HLOOKUP(H$1,集計加工用!$B$1:$AL$47,ROW(),FALSE)=0,"NA",HLOOKUP(H$1,集計加工用!$B$1:$AL$47,ROW(),FALSE))</f>
        <v>125.06629558835354</v>
      </c>
      <c r="I43">
        <f>IF(HLOOKUP(I$1,集計加工用!$B$1:$AL$47,ROW(),FALSE)=0,"NA",HLOOKUP(I$1,集計加工用!$B$1:$AL$47,ROW(),FALSE))</f>
        <v>104297</v>
      </c>
      <c r="J43" t="str">
        <f>IF(HLOOKUP(J$1,集計加工用!$B$1:$AL$47,ROW(),FALSE)=0,"NA",HLOOKUP(J$1,集計加工用!$B$1:$AL$47,ROW(),FALSE))</f>
        <v>NA</v>
      </c>
      <c r="K43" t="str">
        <f>IF(HLOOKUP(K$1,集計加工用!$B$1:$AL$47,ROW(),FALSE)=0,"NA",HLOOKUP(K$1,集計加工用!$B$1:$AL$47,ROW(),FALSE))</f>
        <v>NA</v>
      </c>
      <c r="L43" t="str">
        <f>IF(HLOOKUP(L$1,集計加工用!$B$1:$AL$47,ROW(),FALSE)=0,"NA",HLOOKUP(L$1,集計加工用!$B$1:$AL$47,ROW(),FALSE))</f>
        <v>NA</v>
      </c>
      <c r="M43" t="str">
        <f>IF(HLOOKUP(M$1,集計加工用!$B$1:$AL$47,ROW(),FALSE)=0,"NA",HLOOKUP(M$1,集計加工用!$B$1:$AL$47,ROW(),FALSE))</f>
        <v>NA</v>
      </c>
      <c r="N43">
        <f>IF(HLOOKUP(N$1,集計加工用!$B$1:$AL$47,ROW(),FALSE)=0,"NA",HLOOKUP(N$1,集計加工用!$B$1:$AL$47,ROW(),FALSE))</f>
        <v>92.637849093417458</v>
      </c>
      <c r="O43">
        <f>IF(HLOOKUP(O$1,集計加工用!$B$1:$AL$47,ROW(),FALSE)=0,"NA",HLOOKUP(O$1,集計加工用!$B$1:$AL$47,ROW(),FALSE))</f>
        <v>127.58588364794443</v>
      </c>
      <c r="P43" t="str">
        <f>IF(HLOOKUP(P$1,集計加工用!$B$1:$AL$47,ROW(),FALSE)=0,"NA",HLOOKUP(P$1,集計加工用!$B$1:$AL$47,ROW(),FALSE))</f>
        <v>NA</v>
      </c>
      <c r="Q43">
        <f>IF(HLOOKUP(Q$1,集計加工用!$B$1:$AL$47,ROW(),FALSE)=0,"NA",HLOOKUP(Q$1,集計加工用!$B$1:$AL$47,ROW(),FALSE))</f>
        <v>0.71206143811477352</v>
      </c>
    </row>
    <row r="44" spans="1:17" x14ac:dyDescent="0.25">
      <c r="A44">
        <v>2037</v>
      </c>
      <c r="B44">
        <f>IF(HLOOKUP(B$1,集計加工用!$B$1:$AL$47,ROW(),FALSE)=0,"NA",HLOOKUP(B$1,集計加工用!$B$1:$AL$47,ROW(),FALSE))</f>
        <v>782179.41251643701</v>
      </c>
      <c r="C44">
        <f>IF(HLOOKUP(C$1,集計加工用!$B$1:$AL$47,ROW(),FALSE)=0,"NA",HLOOKUP(C$1,集計加工用!$B$1:$AL$47,ROW(),FALSE))</f>
        <v>414315.43621114071</v>
      </c>
      <c r="D44">
        <f>IF(HLOOKUP(D$1,集計加工用!$B$1:$AL$47,ROW(),FALSE)=0,"NA",HLOOKUP(D$1,集計加工用!$B$1:$AL$47,ROW(),FALSE))</f>
        <v>178635.4397056977</v>
      </c>
      <c r="E44" t="str">
        <f>IF(HLOOKUP(E$1,集計加工用!$B$1:$AL$47,ROW(),FALSE)=0,"NA",HLOOKUP(E$1,集計加工用!$B$1:$AL$47,ROW(),FALSE))</f>
        <v>NA</v>
      </c>
      <c r="F44" t="str">
        <f>IF(HLOOKUP(F$1,集計加工用!$B$1:$AL$47,ROW(),FALSE)=0,"NA",HLOOKUP(F$1,集計加工用!$B$1:$AL$47,ROW(),FALSE))</f>
        <v>NA</v>
      </c>
      <c r="G44">
        <f>IF(HLOOKUP(G$1,集計加工用!$B$1:$AL$47,ROW(),FALSE)=0,"NA",HLOOKUP(G$1,集計加工用!$B$1:$AL$47,ROW(),FALSE))</f>
        <v>124.06203190139037</v>
      </c>
      <c r="H44">
        <f>IF(HLOOKUP(H$1,集計加工用!$B$1:$AL$47,ROW(),FALSE)=0,"NA",HLOOKUP(H$1,集計加工用!$B$1:$AL$47,ROW(),FALSE))</f>
        <v>125.94175965747201</v>
      </c>
      <c r="I44">
        <f>IF(HLOOKUP(I$1,集計加工用!$B$1:$AL$47,ROW(),FALSE)=0,"NA",HLOOKUP(I$1,集計加工用!$B$1:$AL$47,ROW(),FALSE))</f>
        <v>103601</v>
      </c>
      <c r="J44" t="str">
        <f>IF(HLOOKUP(J$1,集計加工用!$B$1:$AL$47,ROW(),FALSE)=0,"NA",HLOOKUP(J$1,集計加工用!$B$1:$AL$47,ROW(),FALSE))</f>
        <v>NA</v>
      </c>
      <c r="K44" t="str">
        <f>IF(HLOOKUP(K$1,集計加工用!$B$1:$AL$47,ROW(),FALSE)=0,"NA",HLOOKUP(K$1,集計加工用!$B$1:$AL$47,ROW(),FALSE))</f>
        <v>NA</v>
      </c>
      <c r="L44" t="str">
        <f>IF(HLOOKUP(L$1,集計加工用!$B$1:$AL$47,ROW(),FALSE)=0,"NA",HLOOKUP(L$1,集計加工用!$B$1:$AL$47,ROW(),FALSE))</f>
        <v>NA</v>
      </c>
      <c r="M44" t="str">
        <f>IF(HLOOKUP(M$1,集計加工用!$B$1:$AL$47,ROW(),FALSE)=0,"NA",HLOOKUP(M$1,集計加工用!$B$1:$AL$47,ROW(),FALSE))</f>
        <v>NA</v>
      </c>
      <c r="N44">
        <f>IF(HLOOKUP(N$1,集計加工用!$B$1:$AL$47,ROW(),FALSE)=0,"NA",HLOOKUP(N$1,集計加工用!$B$1:$AL$47,ROW(),FALSE))</f>
        <v>91.975067086693841</v>
      </c>
      <c r="O44">
        <f>IF(HLOOKUP(O$1,集計加工用!$B$1:$AL$47,ROW(),FALSE)=0,"NA",HLOOKUP(O$1,集計加工用!$B$1:$AL$47,ROW(),FALSE))</f>
        <v>128.9893283680718</v>
      </c>
      <c r="P44" t="str">
        <f>IF(HLOOKUP(P$1,集計加工用!$B$1:$AL$47,ROW(),FALSE)=0,"NA",HLOOKUP(P$1,集計加工用!$B$1:$AL$47,ROW(),FALSE))</f>
        <v>NA</v>
      </c>
      <c r="Q44">
        <f>IF(HLOOKUP(Q$1,集計加工用!$B$1:$AL$47,ROW(),FALSE)=0,"NA",HLOOKUP(Q$1,集計加工用!$B$1:$AL$47,ROW(),FALSE))</f>
        <v>0.71206143811477352</v>
      </c>
    </row>
    <row r="45" spans="1:17" x14ac:dyDescent="0.25">
      <c r="A45">
        <v>2038</v>
      </c>
      <c r="B45">
        <f>IF(HLOOKUP(B$1,集計加工用!$B$1:$AL$47,ROW(),FALSE)=0,"NA",HLOOKUP(B$1,集計加工用!$B$1:$AL$47,ROW(),FALSE))</f>
        <v>790426.73636312608</v>
      </c>
      <c r="C45">
        <f>IF(HLOOKUP(C$1,集計加工用!$B$1:$AL$47,ROW(),FALSE)=0,"NA",HLOOKUP(C$1,集計加工用!$B$1:$AL$47,ROW(),FALSE))</f>
        <v>418683.99094735179</v>
      </c>
      <c r="D45">
        <f>IF(HLOOKUP(D$1,集計加工用!$B$1:$AL$47,ROW(),FALSE)=0,"NA",HLOOKUP(D$1,集計加工用!$B$1:$AL$47,ROW(),FALSE))</f>
        <v>180518.97729077525</v>
      </c>
      <c r="E45" t="str">
        <f>IF(HLOOKUP(E$1,集計加工用!$B$1:$AL$47,ROW(),FALSE)=0,"NA",HLOOKUP(E$1,集計加工用!$B$1:$AL$47,ROW(),FALSE))</f>
        <v>NA</v>
      </c>
      <c r="F45" t="str">
        <f>IF(HLOOKUP(F$1,集計加工用!$B$1:$AL$47,ROW(),FALSE)=0,"NA",HLOOKUP(F$1,集計加工用!$B$1:$AL$47,ROW(),FALSE))</f>
        <v>NA</v>
      </c>
      <c r="G45">
        <f>IF(HLOOKUP(G$1,集計加工用!$B$1:$AL$47,ROW(),FALSE)=0,"NA",HLOOKUP(G$1,集計加工用!$B$1:$AL$47,ROW(),FALSE))</f>
        <v>124.93046612470009</v>
      </c>
      <c r="H45">
        <f>IF(HLOOKUP(H$1,集計加工用!$B$1:$AL$47,ROW(),FALSE)=0,"NA",HLOOKUP(H$1,集計加工用!$B$1:$AL$47,ROW(),FALSE))</f>
        <v>126.8233519750743</v>
      </c>
      <c r="I45">
        <f>IF(HLOOKUP(I$1,集計加工用!$B$1:$AL$47,ROW(),FALSE)=0,"NA",HLOOKUP(I$1,集計加工用!$B$1:$AL$47,ROW(),FALSE))</f>
        <v>102871</v>
      </c>
      <c r="J45" t="str">
        <f>IF(HLOOKUP(J$1,集計加工用!$B$1:$AL$47,ROW(),FALSE)=0,"NA",HLOOKUP(J$1,集計加工用!$B$1:$AL$47,ROW(),FALSE))</f>
        <v>NA</v>
      </c>
      <c r="K45" t="str">
        <f>IF(HLOOKUP(K$1,集計加工用!$B$1:$AL$47,ROW(),FALSE)=0,"NA",HLOOKUP(K$1,集計加工用!$B$1:$AL$47,ROW(),FALSE))</f>
        <v>NA</v>
      </c>
      <c r="L45" t="str">
        <f>IF(HLOOKUP(L$1,集計加工用!$B$1:$AL$47,ROW(),FALSE)=0,"NA",HLOOKUP(L$1,集計加工用!$B$1:$AL$47,ROW(),FALSE))</f>
        <v>NA</v>
      </c>
      <c r="M45" t="str">
        <f>IF(HLOOKUP(M$1,集計加工用!$B$1:$AL$47,ROW(),FALSE)=0,"NA",HLOOKUP(M$1,集計加工用!$B$1:$AL$47,ROW(),FALSE))</f>
        <v>NA</v>
      </c>
      <c r="N45">
        <f>IF(HLOOKUP(N$1,集計加工用!$B$1:$AL$47,ROW(),FALSE)=0,"NA",HLOOKUP(N$1,集計加工用!$B$1:$AL$47,ROW(),FALSE))</f>
        <v>91.385230310758033</v>
      </c>
      <c r="O45">
        <f>IF(HLOOKUP(O$1,集計加工用!$B$1:$AL$47,ROW(),FALSE)=0,"NA",HLOOKUP(O$1,集計加工用!$B$1:$AL$47,ROW(),FALSE))</f>
        <v>130.40821098012057</v>
      </c>
      <c r="P45" t="str">
        <f>IF(HLOOKUP(P$1,集計加工用!$B$1:$AL$47,ROW(),FALSE)=0,"NA",HLOOKUP(P$1,集計加工用!$B$1:$AL$47,ROW(),FALSE))</f>
        <v>NA</v>
      </c>
      <c r="Q45">
        <f>IF(HLOOKUP(Q$1,集計加工用!$B$1:$AL$47,ROW(),FALSE)=0,"NA",HLOOKUP(Q$1,集計加工用!$B$1:$AL$47,ROW(),FALSE))</f>
        <v>0.71206143811477352</v>
      </c>
    </row>
    <row r="46" spans="1:17" x14ac:dyDescent="0.25">
      <c r="A46">
        <v>2039</v>
      </c>
      <c r="B46">
        <f>IF(HLOOKUP(B$1,集計加工用!$B$1:$AL$47,ROW(),FALSE)=0,"NA",HLOOKUP(B$1,集計加工用!$B$1:$AL$47,ROW(),FALSE))</f>
        <v>798648.3482101839</v>
      </c>
      <c r="C46">
        <f>IF(HLOOKUP(C$1,集計加工用!$B$1:$AL$47,ROW(),FALSE)=0,"NA",HLOOKUP(C$1,集計加工用!$B$1:$AL$47,ROW(),FALSE))</f>
        <v>423038.92620167346</v>
      </c>
      <c r="D46">
        <f>IF(HLOOKUP(D$1,集計加工用!$B$1:$AL$47,ROW(),FALSE)=0,"NA",HLOOKUP(D$1,集計加工用!$B$1:$AL$47,ROW(),FALSE))</f>
        <v>182396.64272646309</v>
      </c>
      <c r="E46" t="str">
        <f>IF(HLOOKUP(E$1,集計加工用!$B$1:$AL$47,ROW(),FALSE)=0,"NA",HLOOKUP(E$1,集計加工用!$B$1:$AL$47,ROW(),FALSE))</f>
        <v>NA</v>
      </c>
      <c r="F46" t="str">
        <f>IF(HLOOKUP(F$1,集計加工用!$B$1:$AL$47,ROW(),FALSE)=0,"NA",HLOOKUP(F$1,集計加工用!$B$1:$AL$47,ROW(),FALSE))</f>
        <v>NA</v>
      </c>
      <c r="G46">
        <f>IF(HLOOKUP(G$1,集計加工用!$B$1:$AL$47,ROW(),FALSE)=0,"NA",HLOOKUP(G$1,集計加工用!$B$1:$AL$47,ROW(),FALSE))</f>
        <v>125.80497938757297</v>
      </c>
      <c r="H46">
        <f>IF(HLOOKUP(H$1,集計加工用!$B$1:$AL$47,ROW(),FALSE)=0,"NA",HLOOKUP(H$1,集計加工用!$B$1:$AL$47,ROW(),FALSE))</f>
        <v>127.71111543889981</v>
      </c>
      <c r="I46">
        <f>IF(HLOOKUP(I$1,集計加工用!$B$1:$AL$47,ROW(),FALSE)=0,"NA",HLOOKUP(I$1,集計加工用!$B$1:$AL$47,ROW(),FALSE))</f>
        <v>102145</v>
      </c>
      <c r="J46" t="str">
        <f>IF(HLOOKUP(J$1,集計加工用!$B$1:$AL$47,ROW(),FALSE)=0,"NA",HLOOKUP(J$1,集計加工用!$B$1:$AL$47,ROW(),FALSE))</f>
        <v>NA</v>
      </c>
      <c r="K46" t="str">
        <f>IF(HLOOKUP(K$1,集計加工用!$B$1:$AL$47,ROW(),FALSE)=0,"NA",HLOOKUP(K$1,集計加工用!$B$1:$AL$47,ROW(),FALSE))</f>
        <v>NA</v>
      </c>
      <c r="L46" t="str">
        <f>IF(HLOOKUP(L$1,集計加工用!$B$1:$AL$47,ROW(),FALSE)=0,"NA",HLOOKUP(L$1,集計加工用!$B$1:$AL$47,ROW(),FALSE))</f>
        <v>NA</v>
      </c>
      <c r="M46" t="str">
        <f>IF(HLOOKUP(M$1,集計加工用!$B$1:$AL$47,ROW(),FALSE)=0,"NA",HLOOKUP(M$1,集計加工用!$B$1:$AL$47,ROW(),FALSE))</f>
        <v>NA</v>
      </c>
      <c r="N46">
        <f>IF(HLOOKUP(N$1,集計加工用!$B$1:$AL$47,ROW(),FALSE)=0,"NA",HLOOKUP(N$1,集計加工用!$B$1:$AL$47,ROW(),FALSE))</f>
        <v>90.792994808335706</v>
      </c>
      <c r="O46">
        <f>IF(HLOOKUP(O$1,集計加工用!$B$1:$AL$47,ROW(),FALSE)=0,"NA",HLOOKUP(O$1,集計加工用!$B$1:$AL$47,ROW(),FALSE))</f>
        <v>131.84270130090189</v>
      </c>
      <c r="P46" t="str">
        <f>IF(HLOOKUP(P$1,集計加工用!$B$1:$AL$47,ROW(),FALSE)=0,"NA",HLOOKUP(P$1,集計加工用!$B$1:$AL$47,ROW(),FALSE))</f>
        <v>NA</v>
      </c>
      <c r="Q46">
        <f>IF(HLOOKUP(Q$1,集計加工用!$B$1:$AL$47,ROW(),FALSE)=0,"NA",HLOOKUP(Q$1,集計加工用!$B$1:$AL$47,ROW(),FALSE))</f>
        <v>0.71206143811477352</v>
      </c>
    </row>
    <row r="47" spans="1:17" x14ac:dyDescent="0.25">
      <c r="A47">
        <v>2040</v>
      </c>
      <c r="B47">
        <f>IF(HLOOKUP(B$1,集計加工用!$B$1:$AL$47,ROW(),FALSE)=0,"NA",HLOOKUP(B$1,集計加工用!$B$1:$AL$47,ROW(),FALSE))</f>
        <v>806846.71671906847</v>
      </c>
      <c r="C47">
        <f>IF(HLOOKUP(C$1,集計加工用!$B$1:$AL$47,ROW(),FALSE)=0,"NA",HLOOKUP(C$1,集計加工用!$B$1:$AL$47,ROW(),FALSE))</f>
        <v>427381.54960830376</v>
      </c>
      <c r="D47">
        <f>IF(HLOOKUP(D$1,集計加工用!$B$1:$AL$47,ROW(),FALSE)=0,"NA",HLOOKUP(D$1,集計加工用!$B$1:$AL$47,ROW(),FALSE))</f>
        <v>184268.99980978528</v>
      </c>
      <c r="E47" t="str">
        <f>IF(HLOOKUP(E$1,集計加工用!$B$1:$AL$47,ROW(),FALSE)=0,"NA",HLOOKUP(E$1,集計加工用!$B$1:$AL$47,ROW(),FALSE))</f>
        <v>NA</v>
      </c>
      <c r="F47" t="str">
        <f>IF(HLOOKUP(F$1,集計加工用!$B$1:$AL$47,ROW(),FALSE)=0,"NA",HLOOKUP(F$1,集計加工用!$B$1:$AL$47,ROW(),FALSE))</f>
        <v>NA</v>
      </c>
      <c r="G47">
        <f>IF(HLOOKUP(G$1,集計加工用!$B$1:$AL$47,ROW(),FALSE)=0,"NA",HLOOKUP(G$1,集計加工用!$B$1:$AL$47,ROW(),FALSE))</f>
        <v>126.68561424328597</v>
      </c>
      <c r="H47">
        <f>IF(HLOOKUP(H$1,集計加工用!$B$1:$AL$47,ROW(),FALSE)=0,"NA",HLOOKUP(H$1,集計加工用!$B$1:$AL$47,ROW(),FALSE))</f>
        <v>128.6050932469721</v>
      </c>
      <c r="I47">
        <f>IF(HLOOKUP(I$1,集計加工用!$B$1:$AL$47,ROW(),FALSE)=0,"NA",HLOOKUP(I$1,集計加工用!$B$1:$AL$47,ROW(),FALSE))</f>
        <v>101418</v>
      </c>
      <c r="J47" t="str">
        <f>IF(HLOOKUP(J$1,集計加工用!$B$1:$AL$47,ROW(),FALSE)=0,"NA",HLOOKUP(J$1,集計加工用!$B$1:$AL$47,ROW(),FALSE))</f>
        <v>NA</v>
      </c>
      <c r="K47" t="str">
        <f>IF(HLOOKUP(K$1,集計加工用!$B$1:$AL$47,ROW(),FALSE)=0,"NA",HLOOKUP(K$1,集計加工用!$B$1:$AL$47,ROW(),FALSE))</f>
        <v>NA</v>
      </c>
      <c r="L47" t="str">
        <f>IF(HLOOKUP(L$1,集計加工用!$B$1:$AL$47,ROW(),FALSE)=0,"NA",HLOOKUP(L$1,集計加工用!$B$1:$AL$47,ROW(),FALSE))</f>
        <v>NA</v>
      </c>
      <c r="M47" t="str">
        <f>IF(HLOOKUP(M$1,集計加工用!$B$1:$AL$47,ROW(),FALSE)=0,"NA",HLOOKUP(M$1,集計加工用!$B$1:$AL$47,ROW(),FALSE))</f>
        <v>NA</v>
      </c>
      <c r="N47">
        <f>IF(HLOOKUP(N$1,集計加工用!$B$1:$AL$47,ROW(),FALSE)=0,"NA",HLOOKUP(N$1,集計加工用!$B$1:$AL$47,ROW(),FALSE))</f>
        <v>90.168308077789462</v>
      </c>
      <c r="O47">
        <f>IF(HLOOKUP(O$1,集計加工用!$B$1:$AL$47,ROW(),FALSE)=0,"NA",HLOOKUP(O$1,集計加工用!$B$1:$AL$47,ROW(),FALSE))</f>
        <v>133.2929710152118</v>
      </c>
      <c r="P47" t="str">
        <f>IF(HLOOKUP(P$1,集計加工用!$B$1:$AL$47,ROW(),FALSE)=0,"NA",HLOOKUP(P$1,集計加工用!$B$1:$AL$47,ROW(),FALSE))</f>
        <v>NA</v>
      </c>
      <c r="Q47">
        <f>IF(HLOOKUP(Q$1,集計加工用!$B$1:$AL$47,ROW(),FALSE)=0,"NA",HLOOKUP(Q$1,集計加工用!$B$1:$AL$47,ROW(),FALSE))</f>
        <v>0.71206143811477352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D76F-3256-4879-8F26-B76D5BC7766A}">
  <dimension ref="A1:AM77"/>
  <sheetViews>
    <sheetView tabSelected="1" workbookViewId="0">
      <pane xSplit="1" ySplit="1" topLeftCell="AC17" activePane="bottomRight" state="frozen"/>
      <selection pane="topRight" activeCell="B1" sqref="B1"/>
      <selection pane="bottomLeft" activeCell="A2" sqref="A2"/>
      <selection pane="bottomRight" activeCell="AQ42" sqref="AQ42"/>
    </sheetView>
  </sheetViews>
  <sheetFormatPr defaultRowHeight="12.6" x14ac:dyDescent="0.25"/>
  <cols>
    <col min="2" max="2" width="9.6640625" style="16" bestFit="1" customWidth="1"/>
    <col min="3" max="5" width="9.6640625" style="16" customWidth="1"/>
    <col min="6" max="7" width="9.6640625" style="16" bestFit="1" customWidth="1"/>
    <col min="8" max="10" width="8.88671875" style="16"/>
    <col min="11" max="11" width="9.6640625" style="16" bestFit="1" customWidth="1"/>
    <col min="12" max="14" width="8.88671875" style="16"/>
    <col min="15" max="15" width="10.44140625" style="16" bestFit="1" customWidth="1"/>
    <col min="16" max="16" width="9.6640625" style="16" bestFit="1" customWidth="1"/>
    <col min="17" max="17" width="8.88671875" style="16"/>
    <col min="18" max="19" width="8.88671875" style="10"/>
    <col min="20" max="20" width="8.88671875" style="4"/>
    <col min="26" max="34" width="8.88671875" style="10"/>
    <col min="35" max="35" width="8.88671875" style="19"/>
    <col min="36" max="37" width="8.88671875" style="10"/>
    <col min="38" max="38" width="8.88671875" style="19"/>
    <col min="39" max="39" width="8.88671875" style="29"/>
  </cols>
  <sheetData>
    <row r="1" spans="1:39" x14ac:dyDescent="0.25">
      <c r="A1" t="s">
        <v>26</v>
      </c>
      <c r="B1" s="15" t="s">
        <v>0</v>
      </c>
      <c r="C1" s="15" t="s">
        <v>23</v>
      </c>
      <c r="D1" s="15" t="s">
        <v>24</v>
      </c>
      <c r="E1" s="15" t="s">
        <v>21</v>
      </c>
      <c r="F1" s="15" t="s">
        <v>1</v>
      </c>
      <c r="G1" s="15" t="s">
        <v>2</v>
      </c>
      <c r="H1" s="15" t="s">
        <v>15</v>
      </c>
      <c r="I1" s="15" t="s">
        <v>14</v>
      </c>
      <c r="J1" s="15" t="s">
        <v>16</v>
      </c>
      <c r="K1" s="15" t="s">
        <v>3</v>
      </c>
      <c r="L1" s="15" t="s">
        <v>17</v>
      </c>
      <c r="M1" s="15" t="s">
        <v>18</v>
      </c>
      <c r="N1" s="15" t="s">
        <v>19</v>
      </c>
      <c r="O1" s="15" t="s">
        <v>4</v>
      </c>
      <c r="P1" s="15" t="s">
        <v>20</v>
      </c>
      <c r="Q1" s="15" t="s">
        <v>22</v>
      </c>
      <c r="R1" s="13" t="s">
        <v>25</v>
      </c>
      <c r="S1" s="13" t="s">
        <v>37</v>
      </c>
      <c r="T1" s="14" t="s">
        <v>5</v>
      </c>
      <c r="U1" s="2" t="s">
        <v>12</v>
      </c>
      <c r="V1" s="2" t="s">
        <v>13</v>
      </c>
      <c r="W1" s="2" t="s">
        <v>6</v>
      </c>
      <c r="X1" s="2" t="s">
        <v>7</v>
      </c>
      <c r="Y1" s="2" t="s">
        <v>8</v>
      </c>
      <c r="Z1" s="8" t="s">
        <v>9</v>
      </c>
      <c r="AA1" s="8" t="s">
        <v>31</v>
      </c>
      <c r="AB1" s="8" t="s">
        <v>32</v>
      </c>
      <c r="AC1" s="8" t="s">
        <v>33</v>
      </c>
      <c r="AD1" s="8" t="s">
        <v>34</v>
      </c>
      <c r="AE1" s="8" t="s">
        <v>35</v>
      </c>
      <c r="AF1" s="8" t="s">
        <v>36</v>
      </c>
      <c r="AG1" s="9" t="s">
        <v>10</v>
      </c>
      <c r="AH1" s="9" t="s">
        <v>27</v>
      </c>
      <c r="AI1" s="18" t="s">
        <v>11</v>
      </c>
      <c r="AJ1" s="9" t="s">
        <v>28</v>
      </c>
      <c r="AK1" s="9" t="s">
        <v>29</v>
      </c>
      <c r="AL1" s="18" t="s">
        <v>30</v>
      </c>
      <c r="AM1" s="29" t="s">
        <v>38</v>
      </c>
    </row>
    <row r="2" spans="1:39" x14ac:dyDescent="0.25">
      <c r="A2">
        <v>1995</v>
      </c>
      <c r="B2" s="16">
        <v>530463.19999999995</v>
      </c>
      <c r="C2" s="16">
        <f t="shared" ref="C2:C42" si="0">B2/U2</f>
        <v>4.2244421438241613</v>
      </c>
      <c r="F2" s="16">
        <v>274056.59999999998</v>
      </c>
      <c r="G2" s="16">
        <f>SUM(H2:J2)</f>
        <v>125366.79999999999</v>
      </c>
      <c r="H2" s="16">
        <v>31878.2</v>
      </c>
      <c r="I2" s="16">
        <v>91924.2</v>
      </c>
      <c r="J2" s="16">
        <v>1564.4</v>
      </c>
      <c r="K2" s="16">
        <f>SUM(L2:N2)</f>
        <v>124557.09999999999</v>
      </c>
      <c r="L2" s="16">
        <v>78549.899999999994</v>
      </c>
      <c r="M2" s="16">
        <v>45895</v>
      </c>
      <c r="N2" s="16">
        <v>112.2</v>
      </c>
      <c r="O2" s="16">
        <f>B2-P2</f>
        <v>114170.09999999998</v>
      </c>
      <c r="P2" s="16">
        <v>416293.1</v>
      </c>
      <c r="Q2" s="16">
        <v>111.6</v>
      </c>
      <c r="S2" s="10">
        <v>105.2</v>
      </c>
      <c r="T2" s="4">
        <f>U2-V2</f>
        <v>105556</v>
      </c>
      <c r="U2" s="4">
        <v>125570</v>
      </c>
      <c r="V2" s="4">
        <v>20014</v>
      </c>
      <c r="W2">
        <v>6666</v>
      </c>
      <c r="X2">
        <v>6457</v>
      </c>
      <c r="Y2">
        <v>210</v>
      </c>
      <c r="Z2" s="10">
        <f>AA2/AD2*100</f>
        <v>93.293718166383712</v>
      </c>
      <c r="AA2" s="10">
        <f>AB2</f>
        <v>109.9</v>
      </c>
      <c r="AB2" s="10">
        <v>109.9</v>
      </c>
      <c r="AC2" s="10">
        <v>1.1000000000000001</v>
      </c>
      <c r="AD2" s="10">
        <f>AE2</f>
        <v>117.8</v>
      </c>
      <c r="AE2" s="10">
        <v>117.8</v>
      </c>
      <c r="AF2" s="10">
        <v>0.1</v>
      </c>
      <c r="AG2" s="10">
        <v>95.9</v>
      </c>
      <c r="AI2" s="19">
        <v>3.5058333333333298</v>
      </c>
      <c r="AJ2" s="10">
        <v>136.375</v>
      </c>
      <c r="AK2" s="10">
        <v>77.849999999999994</v>
      </c>
      <c r="AL2" s="19">
        <f>AJ2/AK2</f>
        <v>1.7517662170841364</v>
      </c>
      <c r="AM2" s="30">
        <v>1</v>
      </c>
    </row>
    <row r="3" spans="1:39" x14ac:dyDescent="0.25">
      <c r="A3">
        <v>1996</v>
      </c>
      <c r="B3" s="16">
        <v>546227.9</v>
      </c>
      <c r="C3" s="16">
        <f t="shared" si="0"/>
        <v>4.3399987287361252</v>
      </c>
      <c r="D3" s="21">
        <f>C3/C2</f>
        <v>1.0273542827615474</v>
      </c>
      <c r="F3" s="16">
        <v>279898</v>
      </c>
      <c r="G3" s="16">
        <f t="shared" ref="G3:G32" si="1">SUM(H3:J3)</f>
        <v>134570.9</v>
      </c>
      <c r="H3" s="16">
        <v>35343.599999999999</v>
      </c>
      <c r="I3" s="16">
        <v>96951.9</v>
      </c>
      <c r="J3" s="16">
        <v>2275.4</v>
      </c>
      <c r="K3" s="16">
        <f t="shared" ref="K3:K32" si="2">SUM(L3:N3)</f>
        <v>129736.7</v>
      </c>
      <c r="L3" s="16">
        <v>81158.7</v>
      </c>
      <c r="M3" s="16">
        <v>48325.3</v>
      </c>
      <c r="N3" s="16">
        <v>252.7</v>
      </c>
      <c r="O3" s="16">
        <f t="shared" ref="O3:O32" si="3">B3-P3</f>
        <v>115264.80000000005</v>
      </c>
      <c r="P3" s="16">
        <v>430963.1</v>
      </c>
      <c r="Q3" s="16">
        <v>111.5</v>
      </c>
      <c r="R3" s="10">
        <f>(Q3/Q2-1)*100</f>
        <v>-8.9605734767017609E-2</v>
      </c>
      <c r="S3" s="10">
        <v>105.4</v>
      </c>
      <c r="T3" s="4">
        <f t="shared" ref="T3:T66" si="4">U3-V3</f>
        <v>106173</v>
      </c>
      <c r="U3" s="4">
        <v>125859</v>
      </c>
      <c r="V3" s="4">
        <v>19686</v>
      </c>
      <c r="W3">
        <v>6711</v>
      </c>
      <c r="X3">
        <v>6486</v>
      </c>
      <c r="Y3">
        <v>225</v>
      </c>
      <c r="Z3" s="10">
        <f t="shared" ref="Z3:Z32" si="5">AA3/AD3*100</f>
        <v>94.232400339270555</v>
      </c>
      <c r="AA3" s="10">
        <f t="shared" ref="AA3:AA30" si="6">AB3</f>
        <v>111.1</v>
      </c>
      <c r="AB3" s="10">
        <v>111.1</v>
      </c>
      <c r="AC3" s="10">
        <v>1.1000000000000001</v>
      </c>
      <c r="AD3" s="10">
        <f t="shared" ref="AD3:AD30" si="7">AE3</f>
        <v>117.9</v>
      </c>
      <c r="AE3" s="10">
        <v>117.9</v>
      </c>
      <c r="AF3" s="10">
        <v>0.1</v>
      </c>
      <c r="AG3" s="10">
        <v>96</v>
      </c>
      <c r="AH3" s="10">
        <f>(AG3/AG2-1)*100</f>
        <v>0.10427528675702735</v>
      </c>
      <c r="AI3" s="19">
        <v>2.6575833333333301</v>
      </c>
      <c r="AJ3" s="10">
        <v>129.71666666666701</v>
      </c>
      <c r="AK3" s="10">
        <v>85.408333333333303</v>
      </c>
      <c r="AL3" s="19">
        <f t="shared" ref="AL3:AL32" si="8">AJ3/AK3</f>
        <v>1.5187823202263682</v>
      </c>
      <c r="AM3" s="30">
        <v>2</v>
      </c>
    </row>
    <row r="4" spans="1:39" x14ac:dyDescent="0.25">
      <c r="A4">
        <v>1997</v>
      </c>
      <c r="B4" s="16">
        <v>554111.80000000005</v>
      </c>
      <c r="C4" s="16">
        <f t="shared" si="0"/>
        <v>4.3922398281506378</v>
      </c>
      <c r="D4" s="21">
        <f t="shared" ref="D4:D42" si="9">C4/C3</f>
        <v>1.0120371232066527</v>
      </c>
      <c r="F4" s="16">
        <v>284813.7</v>
      </c>
      <c r="G4" s="16">
        <f t="shared" si="1"/>
        <v>135287</v>
      </c>
      <c r="H4" s="16">
        <v>32798</v>
      </c>
      <c r="I4" s="16">
        <v>99717.6</v>
      </c>
      <c r="J4" s="16">
        <v>2771.4</v>
      </c>
      <c r="K4" s="16">
        <f t="shared" si="2"/>
        <v>128663.40000000001</v>
      </c>
      <c r="L4" s="16">
        <v>83020.600000000006</v>
      </c>
      <c r="M4" s="16">
        <v>45463.8</v>
      </c>
      <c r="N4" s="16">
        <v>179</v>
      </c>
      <c r="O4" s="16">
        <f t="shared" si="3"/>
        <v>126647.30000000005</v>
      </c>
      <c r="P4" s="16">
        <v>427464.5</v>
      </c>
      <c r="Q4" s="16">
        <v>111.6</v>
      </c>
      <c r="R4" s="10">
        <f t="shared" ref="R4:R32" si="10">(Q4/Q3-1)*100</f>
        <v>8.9686098654695456E-2</v>
      </c>
      <c r="S4" s="10">
        <v>106.7</v>
      </c>
      <c r="T4" s="4">
        <f t="shared" si="4"/>
        <v>106791</v>
      </c>
      <c r="U4" s="4">
        <v>126157</v>
      </c>
      <c r="V4" s="4">
        <v>19366</v>
      </c>
      <c r="W4">
        <v>6787</v>
      </c>
      <c r="X4">
        <v>6557</v>
      </c>
      <c r="Y4">
        <v>230</v>
      </c>
      <c r="Z4" s="10">
        <f t="shared" si="5"/>
        <v>97.076526225279451</v>
      </c>
      <c r="AA4" s="10">
        <f t="shared" si="6"/>
        <v>112.9</v>
      </c>
      <c r="AB4" s="10">
        <v>112.9</v>
      </c>
      <c r="AC4" s="10">
        <v>1.6</v>
      </c>
      <c r="AD4" s="10">
        <f t="shared" si="7"/>
        <v>116.3</v>
      </c>
      <c r="AE4" s="10">
        <v>116.3</v>
      </c>
      <c r="AF4" s="10">
        <v>-1.4</v>
      </c>
      <c r="AG4" s="10">
        <v>97.7</v>
      </c>
      <c r="AH4" s="10">
        <f t="shared" ref="AH4:AH32" si="11">(AG4/AG3-1)*100</f>
        <v>1.7708333333333437</v>
      </c>
      <c r="AI4" s="19">
        <v>2.4488333333333299</v>
      </c>
      <c r="AJ4" s="10">
        <v>123.908333333333</v>
      </c>
      <c r="AK4" s="10">
        <v>91.783333333333303</v>
      </c>
      <c r="AL4" s="19">
        <f t="shared" si="8"/>
        <v>1.3500090793535469</v>
      </c>
      <c r="AM4" s="30">
        <v>3</v>
      </c>
    </row>
    <row r="5" spans="1:39" x14ac:dyDescent="0.25">
      <c r="A5">
        <v>1998</v>
      </c>
      <c r="B5" s="16">
        <v>543304</v>
      </c>
      <c r="C5" s="16">
        <f t="shared" si="0"/>
        <v>4.2958441394142577</v>
      </c>
      <c r="D5" s="21">
        <f t="shared" si="9"/>
        <v>0.97805318185984214</v>
      </c>
      <c r="F5" s="16">
        <v>283238.3</v>
      </c>
      <c r="G5" s="16">
        <f t="shared" si="1"/>
        <v>123964</v>
      </c>
      <c r="H5" s="16">
        <v>27989.8</v>
      </c>
      <c r="I5" s="16">
        <v>94245.8</v>
      </c>
      <c r="J5" s="16">
        <v>1728.4</v>
      </c>
      <c r="K5" s="16">
        <f t="shared" si="2"/>
        <v>126742.9</v>
      </c>
      <c r="L5" s="16">
        <v>83865.399999999994</v>
      </c>
      <c r="M5" s="16">
        <v>42959.7</v>
      </c>
      <c r="N5" s="16">
        <v>-82.2</v>
      </c>
      <c r="O5" s="16">
        <f t="shared" si="3"/>
        <v>129640.5</v>
      </c>
      <c r="P5" s="16">
        <v>413663.5</v>
      </c>
      <c r="Q5" s="16">
        <v>111.4</v>
      </c>
      <c r="R5" s="10">
        <f t="shared" si="10"/>
        <v>-0.17921146953403522</v>
      </c>
      <c r="S5" s="10">
        <v>106.8</v>
      </c>
      <c r="T5" s="4">
        <f t="shared" si="4"/>
        <v>107413</v>
      </c>
      <c r="U5" s="4">
        <v>126472</v>
      </c>
      <c r="V5" s="4">
        <v>19059</v>
      </c>
      <c r="W5">
        <v>6793</v>
      </c>
      <c r="X5">
        <v>6514</v>
      </c>
      <c r="Y5">
        <v>279</v>
      </c>
      <c r="Z5" s="10">
        <f t="shared" si="5"/>
        <v>96.869565217391312</v>
      </c>
      <c r="AA5" s="10">
        <f t="shared" si="6"/>
        <v>111.4</v>
      </c>
      <c r="AB5" s="10">
        <v>111.4</v>
      </c>
      <c r="AC5" s="10">
        <v>-1.3</v>
      </c>
      <c r="AD5" s="10">
        <f t="shared" si="7"/>
        <v>115</v>
      </c>
      <c r="AE5" s="10">
        <v>115</v>
      </c>
      <c r="AF5" s="10">
        <v>-1.1000000000000001</v>
      </c>
      <c r="AG5" s="10">
        <v>98.3</v>
      </c>
      <c r="AH5" s="10">
        <f t="shared" si="11"/>
        <v>0.61412487205732003</v>
      </c>
      <c r="AI5" s="19">
        <v>2.3209166666666698</v>
      </c>
      <c r="AJ5" s="10">
        <v>119.375</v>
      </c>
      <c r="AK5" s="10">
        <v>87.325000000000003</v>
      </c>
      <c r="AL5" s="19">
        <f t="shared" si="8"/>
        <v>1.3670197537933009</v>
      </c>
      <c r="AM5" s="30">
        <v>4</v>
      </c>
    </row>
    <row r="6" spans="1:39" x14ac:dyDescent="0.25">
      <c r="A6">
        <v>1999</v>
      </c>
      <c r="B6" s="16">
        <v>534107.1</v>
      </c>
      <c r="C6" s="16">
        <f t="shared" si="0"/>
        <v>4.216623903621306</v>
      </c>
      <c r="D6" s="21">
        <f t="shared" si="9"/>
        <v>0.98155886637829615</v>
      </c>
      <c r="F6" s="16">
        <v>284604.09999999998</v>
      </c>
      <c r="G6" s="16">
        <f t="shared" si="1"/>
        <v>111656.6</v>
      </c>
      <c r="H6" s="16">
        <v>27625.7</v>
      </c>
      <c r="I6" s="16">
        <v>87750.6</v>
      </c>
      <c r="J6" s="16">
        <v>-3719.7</v>
      </c>
      <c r="K6" s="16">
        <f t="shared" si="2"/>
        <v>130002.3</v>
      </c>
      <c r="L6" s="16">
        <v>85427.9</v>
      </c>
      <c r="M6" s="16">
        <v>44694.1</v>
      </c>
      <c r="N6" s="16">
        <v>-119.7</v>
      </c>
      <c r="O6" s="16">
        <f t="shared" si="3"/>
        <v>122474.09999999998</v>
      </c>
      <c r="P6" s="16">
        <v>411633</v>
      </c>
      <c r="Q6" s="16">
        <v>109.9</v>
      </c>
      <c r="R6" s="10">
        <f t="shared" si="10"/>
        <v>-1.3464991023339312</v>
      </c>
      <c r="S6" s="10">
        <v>106.1</v>
      </c>
      <c r="T6" s="4">
        <f t="shared" si="4"/>
        <v>107925</v>
      </c>
      <c r="U6" s="4">
        <v>126667</v>
      </c>
      <c r="V6" s="4">
        <v>18742</v>
      </c>
      <c r="W6">
        <v>6779</v>
      </c>
      <c r="X6">
        <v>6462</v>
      </c>
      <c r="Y6">
        <v>317</v>
      </c>
      <c r="Z6" s="10">
        <f t="shared" si="5"/>
        <v>96.481970096745812</v>
      </c>
      <c r="AA6" s="10">
        <f t="shared" si="6"/>
        <v>109.7</v>
      </c>
      <c r="AB6" s="10">
        <v>109.7</v>
      </c>
      <c r="AC6" s="10">
        <v>-1.5</v>
      </c>
      <c r="AD6" s="10">
        <f t="shared" si="7"/>
        <v>113.7</v>
      </c>
      <c r="AE6" s="10">
        <v>113.7</v>
      </c>
      <c r="AF6" s="10">
        <v>-1.2</v>
      </c>
      <c r="AG6" s="10">
        <v>98</v>
      </c>
      <c r="AH6" s="10">
        <f t="shared" si="11"/>
        <v>-0.30518819938961661</v>
      </c>
      <c r="AI6" s="19">
        <v>2.1608333333333301</v>
      </c>
      <c r="AJ6" s="10">
        <v>117.633333333333</v>
      </c>
      <c r="AK6" s="10">
        <v>79.2083333333333</v>
      </c>
      <c r="AL6" s="19">
        <f t="shared" si="8"/>
        <v>1.4851130983692757</v>
      </c>
      <c r="AM6" s="30">
        <v>5</v>
      </c>
    </row>
    <row r="7" spans="1:39" x14ac:dyDescent="0.25">
      <c r="A7">
        <v>2000</v>
      </c>
      <c r="B7" s="16">
        <v>543394.80000000005</v>
      </c>
      <c r="C7" s="16">
        <f t="shared" si="0"/>
        <v>4.2811937664465916</v>
      </c>
      <c r="D7" s="21">
        <f t="shared" si="9"/>
        <v>1.0153131662441679</v>
      </c>
      <c r="F7" s="16">
        <v>286394.8</v>
      </c>
      <c r="G7" s="16">
        <f t="shared" si="1"/>
        <v>120845.6</v>
      </c>
      <c r="H7" s="16">
        <v>28001.5</v>
      </c>
      <c r="I7" s="16">
        <v>93225.3</v>
      </c>
      <c r="J7" s="16">
        <v>-381.2</v>
      </c>
      <c r="K7" s="16">
        <f t="shared" si="2"/>
        <v>128848</v>
      </c>
      <c r="L7" s="16">
        <v>88567.1</v>
      </c>
      <c r="M7" s="16">
        <v>40268.9</v>
      </c>
      <c r="N7" s="16">
        <v>12</v>
      </c>
      <c r="O7" s="16">
        <f t="shared" si="3"/>
        <v>117304.00000000006</v>
      </c>
      <c r="P7" s="16">
        <v>426090.8</v>
      </c>
      <c r="Q7" s="16">
        <v>108.6</v>
      </c>
      <c r="R7" s="10">
        <f t="shared" si="10"/>
        <v>-1.1828935395814533</v>
      </c>
      <c r="S7" s="10">
        <v>105.1</v>
      </c>
      <c r="T7" s="4">
        <f t="shared" si="4"/>
        <v>108454</v>
      </c>
      <c r="U7" s="4">
        <v>126926</v>
      </c>
      <c r="V7" s="4">
        <v>18472</v>
      </c>
      <c r="W7">
        <v>6766</v>
      </c>
      <c r="X7">
        <v>6446</v>
      </c>
      <c r="Y7">
        <v>320</v>
      </c>
      <c r="Z7" s="10">
        <f t="shared" si="5"/>
        <v>95.895196506550221</v>
      </c>
      <c r="AA7" s="10">
        <f t="shared" si="6"/>
        <v>109.8</v>
      </c>
      <c r="AB7" s="10">
        <v>109.8</v>
      </c>
      <c r="AC7" s="10">
        <v>0.1</v>
      </c>
      <c r="AD7" s="10">
        <f t="shared" si="7"/>
        <v>114.5</v>
      </c>
      <c r="AE7" s="10">
        <v>114.5</v>
      </c>
      <c r="AF7" s="10">
        <v>0.7</v>
      </c>
      <c r="AG7" s="10">
        <v>97.3</v>
      </c>
      <c r="AH7" s="10">
        <f t="shared" si="11"/>
        <v>-0.71428571428571175</v>
      </c>
      <c r="AI7" s="19">
        <v>2.0671666666666701</v>
      </c>
      <c r="AJ7" s="10">
        <v>118.72499999999999</v>
      </c>
      <c r="AK7" s="10">
        <v>82.9583333333333</v>
      </c>
      <c r="AL7" s="19">
        <f t="shared" si="8"/>
        <v>1.431140130587645</v>
      </c>
      <c r="AM7" s="30">
        <v>6</v>
      </c>
    </row>
    <row r="8" spans="1:39" x14ac:dyDescent="0.25">
      <c r="A8">
        <v>2001</v>
      </c>
      <c r="B8" s="16">
        <v>539441.6</v>
      </c>
      <c r="C8" s="16">
        <f t="shared" si="0"/>
        <v>4.2370291243834242</v>
      </c>
      <c r="D8" s="21">
        <f t="shared" si="9"/>
        <v>0.98968403569833652</v>
      </c>
      <c r="F8" s="16">
        <v>288170.90000000002</v>
      </c>
      <c r="G8" s="16">
        <f t="shared" si="1"/>
        <v>118323.6</v>
      </c>
      <c r="H8" s="16">
        <v>27024.799999999999</v>
      </c>
      <c r="I8" s="16">
        <v>91053.1</v>
      </c>
      <c r="J8" s="16">
        <v>245.7</v>
      </c>
      <c r="K8" s="16">
        <f t="shared" si="2"/>
        <v>129789.2</v>
      </c>
      <c r="L8" s="16">
        <v>91635.6</v>
      </c>
      <c r="M8" s="16">
        <v>38254.199999999997</v>
      </c>
      <c r="N8" s="16">
        <v>-100.6</v>
      </c>
      <c r="O8" s="16">
        <f t="shared" si="3"/>
        <v>126951.59999999998</v>
      </c>
      <c r="P8" s="16">
        <v>412490</v>
      </c>
      <c r="Q8" s="16">
        <v>107.5</v>
      </c>
      <c r="R8" s="10">
        <f t="shared" si="10"/>
        <v>-1.012891344383049</v>
      </c>
      <c r="S8" s="10">
        <v>103.7</v>
      </c>
      <c r="T8" s="4">
        <f t="shared" si="4"/>
        <v>109033</v>
      </c>
      <c r="U8" s="4">
        <v>127316</v>
      </c>
      <c r="V8" s="4">
        <v>18283</v>
      </c>
      <c r="W8">
        <v>6752</v>
      </c>
      <c r="X8">
        <v>6412</v>
      </c>
      <c r="Y8">
        <v>340</v>
      </c>
      <c r="Z8" s="10">
        <f t="shared" si="5"/>
        <v>95.410414827890548</v>
      </c>
      <c r="AA8" s="10">
        <f t="shared" si="6"/>
        <v>108.1</v>
      </c>
      <c r="AB8" s="10">
        <v>108.1</v>
      </c>
      <c r="AC8" s="10">
        <v>-1.6</v>
      </c>
      <c r="AD8" s="10">
        <f t="shared" si="7"/>
        <v>113.3</v>
      </c>
      <c r="AE8" s="10">
        <v>113.3</v>
      </c>
      <c r="AF8" s="10">
        <v>-1</v>
      </c>
      <c r="AG8" s="10">
        <v>96.7</v>
      </c>
      <c r="AH8" s="10">
        <f t="shared" si="11"/>
        <v>-0.61664953751283669</v>
      </c>
      <c r="AI8" s="19">
        <v>1.9694166666666699</v>
      </c>
      <c r="AJ8" s="10">
        <v>113.1</v>
      </c>
      <c r="AK8" s="10">
        <v>84.983333333333306</v>
      </c>
      <c r="AL8" s="19">
        <f t="shared" si="8"/>
        <v>1.3308491861149248</v>
      </c>
      <c r="AM8" s="30">
        <v>7</v>
      </c>
    </row>
    <row r="9" spans="1:39" x14ac:dyDescent="0.25">
      <c r="A9">
        <v>2002</v>
      </c>
      <c r="B9" s="16">
        <v>532390.80000000005</v>
      </c>
      <c r="C9" s="16">
        <f t="shared" si="0"/>
        <v>4.1760726668026296</v>
      </c>
      <c r="D9" s="21">
        <f t="shared" si="9"/>
        <v>0.98561339660612668</v>
      </c>
      <c r="E9" s="16">
        <v>-0.9</v>
      </c>
      <c r="F9" s="16">
        <v>287665.90000000002</v>
      </c>
      <c r="G9" s="16">
        <f t="shared" si="1"/>
        <v>108975.2</v>
      </c>
      <c r="H9" s="16">
        <v>26127.3</v>
      </c>
      <c r="I9" s="16">
        <v>84640.2</v>
      </c>
      <c r="J9" s="16">
        <v>-1792.3</v>
      </c>
      <c r="K9" s="16">
        <f t="shared" si="2"/>
        <v>129121.4</v>
      </c>
      <c r="L9" s="16">
        <v>93291.199999999997</v>
      </c>
      <c r="M9" s="16">
        <v>35913.199999999997</v>
      </c>
      <c r="N9" s="16">
        <v>-83</v>
      </c>
      <c r="O9" s="16">
        <f t="shared" si="3"/>
        <v>124845.70000000007</v>
      </c>
      <c r="P9" s="16">
        <v>407545.1</v>
      </c>
      <c r="Q9" s="16">
        <v>106</v>
      </c>
      <c r="R9" s="10">
        <f t="shared" si="10"/>
        <v>-1.3953488372092981</v>
      </c>
      <c r="S9" s="10">
        <v>102.2</v>
      </c>
      <c r="T9" s="4">
        <f t="shared" si="4"/>
        <v>109384</v>
      </c>
      <c r="U9" s="4">
        <v>127486</v>
      </c>
      <c r="V9" s="4">
        <v>18102</v>
      </c>
      <c r="W9">
        <v>6689</v>
      </c>
      <c r="X9">
        <v>6330</v>
      </c>
      <c r="Y9">
        <v>359</v>
      </c>
      <c r="Z9" s="10">
        <f t="shared" si="5"/>
        <v>93.49376114081997</v>
      </c>
      <c r="AA9" s="10">
        <f t="shared" si="6"/>
        <v>104.9</v>
      </c>
      <c r="AB9" s="10">
        <v>104.9</v>
      </c>
      <c r="AC9" s="10">
        <v>-2.9</v>
      </c>
      <c r="AD9" s="10">
        <f t="shared" si="7"/>
        <v>112.2</v>
      </c>
      <c r="AE9" s="10">
        <v>112.2</v>
      </c>
      <c r="AF9" s="10">
        <v>-0.9</v>
      </c>
      <c r="AG9" s="10">
        <v>95.8</v>
      </c>
      <c r="AH9" s="10">
        <f t="shared" si="11"/>
        <v>-0.93071354705274167</v>
      </c>
      <c r="AI9" s="19">
        <v>1.8649166666666701</v>
      </c>
      <c r="AJ9" s="10">
        <v>108.783333333333</v>
      </c>
      <c r="AK9" s="10">
        <v>83.7916666666667</v>
      </c>
      <c r="AL9" s="19">
        <f t="shared" si="8"/>
        <v>1.2982595723520591</v>
      </c>
      <c r="AM9" s="30">
        <v>8</v>
      </c>
    </row>
    <row r="10" spans="1:39" x14ac:dyDescent="0.25">
      <c r="A10">
        <v>2003</v>
      </c>
      <c r="B10" s="16">
        <v>530211.80000000005</v>
      </c>
      <c r="C10" s="16">
        <f t="shared" si="0"/>
        <v>4.1522060551004749</v>
      </c>
      <c r="D10" s="21">
        <f t="shared" si="9"/>
        <v>0.99428491465393298</v>
      </c>
      <c r="E10" s="16">
        <v>0.4</v>
      </c>
      <c r="F10" s="16">
        <v>286411.7</v>
      </c>
      <c r="G10" s="16">
        <f t="shared" si="1"/>
        <v>108871</v>
      </c>
      <c r="H10" s="16">
        <v>26001.3</v>
      </c>
      <c r="I10" s="16">
        <v>83039.7</v>
      </c>
      <c r="J10" s="16">
        <v>-170</v>
      </c>
      <c r="K10" s="16">
        <f t="shared" si="2"/>
        <v>126516.90000000001</v>
      </c>
      <c r="L10" s="16">
        <v>93336.1</v>
      </c>
      <c r="M10" s="16">
        <v>33278.300000000003</v>
      </c>
      <c r="N10" s="16">
        <v>-97.5</v>
      </c>
      <c r="O10" s="16">
        <f t="shared" si="3"/>
        <v>117683.00000000006</v>
      </c>
      <c r="P10" s="16">
        <v>412528.8</v>
      </c>
      <c r="Q10" s="16">
        <v>104.1</v>
      </c>
      <c r="R10" s="10">
        <f t="shared" si="10"/>
        <v>-1.7924528301886844</v>
      </c>
      <c r="S10" s="10">
        <v>101.1</v>
      </c>
      <c r="T10" s="4">
        <f t="shared" si="4"/>
        <v>109789</v>
      </c>
      <c r="U10" s="4">
        <v>127694</v>
      </c>
      <c r="V10" s="4">
        <v>17905</v>
      </c>
      <c r="W10">
        <v>6666</v>
      </c>
      <c r="X10">
        <v>6316</v>
      </c>
      <c r="Y10">
        <v>350</v>
      </c>
      <c r="Z10" s="10">
        <f t="shared" si="5"/>
        <v>92.780748663101605</v>
      </c>
      <c r="AA10" s="10">
        <f t="shared" si="6"/>
        <v>104.1</v>
      </c>
      <c r="AB10" s="10">
        <v>104.1</v>
      </c>
      <c r="AC10" s="10">
        <v>-0.7</v>
      </c>
      <c r="AD10" s="10">
        <f t="shared" si="7"/>
        <v>112.2</v>
      </c>
      <c r="AE10" s="10">
        <v>112.2</v>
      </c>
      <c r="AF10" s="10">
        <v>-0.1</v>
      </c>
      <c r="AG10" s="10">
        <v>95.5</v>
      </c>
      <c r="AH10" s="10">
        <f t="shared" si="11"/>
        <v>-0.31315240083507057</v>
      </c>
      <c r="AI10" s="19">
        <v>1.8220833333333299</v>
      </c>
      <c r="AJ10" s="10">
        <v>107.591666666667</v>
      </c>
      <c r="AK10" s="10">
        <v>83.05</v>
      </c>
      <c r="AL10" s="19">
        <f t="shared" si="8"/>
        <v>1.2955047160345214</v>
      </c>
      <c r="AM10" s="30">
        <v>9</v>
      </c>
    </row>
    <row r="11" spans="1:39" x14ac:dyDescent="0.25">
      <c r="A11">
        <v>2004</v>
      </c>
      <c r="B11" s="16">
        <v>534634.1</v>
      </c>
      <c r="C11" s="16">
        <f t="shared" si="0"/>
        <v>4.1837909959542046</v>
      </c>
      <c r="D11" s="21">
        <f t="shared" si="9"/>
        <v>1.0076067855098212</v>
      </c>
      <c r="E11" s="16">
        <v>0.4</v>
      </c>
      <c r="F11" s="16">
        <v>288414.09999999998</v>
      </c>
      <c r="G11" s="16">
        <f t="shared" si="1"/>
        <v>112132.40000000001</v>
      </c>
      <c r="H11" s="16">
        <v>26870.3</v>
      </c>
      <c r="I11" s="16">
        <v>83687.100000000006</v>
      </c>
      <c r="J11" s="16">
        <v>1575</v>
      </c>
      <c r="K11" s="16">
        <f t="shared" si="2"/>
        <v>123987.4</v>
      </c>
      <c r="L11" s="16">
        <v>93570.2</v>
      </c>
      <c r="M11" s="16">
        <v>30401.7</v>
      </c>
      <c r="N11" s="16">
        <v>15.5</v>
      </c>
      <c r="O11" s="16">
        <f t="shared" si="3"/>
        <v>115591.59999999998</v>
      </c>
      <c r="P11" s="16">
        <v>419042.5</v>
      </c>
      <c r="Q11" s="16">
        <v>102.8</v>
      </c>
      <c r="R11" s="10">
        <f t="shared" si="10"/>
        <v>-1.2487992315081575</v>
      </c>
      <c r="S11" s="10">
        <v>100.6</v>
      </c>
      <c r="T11" s="4">
        <f t="shared" si="4"/>
        <v>110053</v>
      </c>
      <c r="U11" s="4">
        <v>127787</v>
      </c>
      <c r="V11" s="4">
        <v>17734</v>
      </c>
      <c r="W11">
        <v>6642</v>
      </c>
      <c r="X11">
        <v>6329</v>
      </c>
      <c r="Y11">
        <v>313</v>
      </c>
      <c r="Z11" s="10">
        <f t="shared" si="5"/>
        <v>92.170818505338076</v>
      </c>
      <c r="AA11" s="10">
        <f t="shared" si="6"/>
        <v>103.6</v>
      </c>
      <c r="AB11" s="10">
        <v>103.6</v>
      </c>
      <c r="AC11" s="10">
        <v>-0.5</v>
      </c>
      <c r="AD11" s="10">
        <f t="shared" si="7"/>
        <v>112.4</v>
      </c>
      <c r="AE11" s="10">
        <v>112.4</v>
      </c>
      <c r="AF11" s="10">
        <v>0.1</v>
      </c>
      <c r="AG11" s="10">
        <v>95.5</v>
      </c>
      <c r="AH11" s="10">
        <f t="shared" si="11"/>
        <v>0</v>
      </c>
      <c r="AI11" s="19">
        <v>1.7665833333333301</v>
      </c>
      <c r="AJ11" s="10">
        <v>109.8</v>
      </c>
      <c r="AK11" s="10">
        <v>86.525000000000006</v>
      </c>
      <c r="AL11" s="19">
        <f t="shared" si="8"/>
        <v>1.2689973995954926</v>
      </c>
      <c r="AM11" s="30">
        <v>10</v>
      </c>
    </row>
    <row r="12" spans="1:39" x14ac:dyDescent="0.25">
      <c r="A12">
        <v>2005</v>
      </c>
      <c r="B12" s="16">
        <v>537385.19999999995</v>
      </c>
      <c r="C12" s="16">
        <f t="shared" si="0"/>
        <v>4.2059451505854355</v>
      </c>
      <c r="D12" s="21">
        <f t="shared" si="9"/>
        <v>1.0052952345498747</v>
      </c>
      <c r="E12" s="16">
        <v>0.8</v>
      </c>
      <c r="F12" s="16">
        <v>290679.3</v>
      </c>
      <c r="G12" s="16">
        <f t="shared" si="1"/>
        <v>116899.59999999999</v>
      </c>
      <c r="H12" s="16">
        <v>26941.4</v>
      </c>
      <c r="I12" s="16">
        <v>89354</v>
      </c>
      <c r="J12" s="16">
        <v>604.20000000000005</v>
      </c>
      <c r="K12" s="16">
        <f t="shared" si="2"/>
        <v>122348.6</v>
      </c>
      <c r="L12" s="16">
        <v>94128.8</v>
      </c>
      <c r="M12" s="16">
        <v>28160.3</v>
      </c>
      <c r="N12" s="16">
        <v>59.5</v>
      </c>
      <c r="O12" s="16">
        <f t="shared" si="3"/>
        <v>119292.19999999995</v>
      </c>
      <c r="P12" s="16">
        <v>418093</v>
      </c>
      <c r="Q12" s="16">
        <v>101.5</v>
      </c>
      <c r="R12" s="10">
        <f t="shared" si="10"/>
        <v>-1.2645914396887115</v>
      </c>
      <c r="S12" s="10">
        <v>99.7</v>
      </c>
      <c r="T12" s="4">
        <f t="shared" si="4"/>
        <v>110247</v>
      </c>
      <c r="U12" s="4">
        <v>127768</v>
      </c>
      <c r="V12" s="4">
        <v>17521</v>
      </c>
      <c r="W12">
        <v>6651</v>
      </c>
      <c r="X12">
        <v>6356</v>
      </c>
      <c r="Y12">
        <v>294</v>
      </c>
      <c r="Z12" s="10">
        <f t="shared" si="5"/>
        <v>93.375111906893466</v>
      </c>
      <c r="AA12" s="10">
        <f t="shared" si="6"/>
        <v>104.3</v>
      </c>
      <c r="AB12" s="10">
        <v>104.3</v>
      </c>
      <c r="AC12" s="10">
        <v>0.8</v>
      </c>
      <c r="AD12" s="10">
        <f t="shared" si="7"/>
        <v>111.7</v>
      </c>
      <c r="AE12" s="10">
        <v>111.7</v>
      </c>
      <c r="AF12" s="10">
        <v>-0.6</v>
      </c>
      <c r="AG12" s="10">
        <v>95.2</v>
      </c>
      <c r="AH12" s="10">
        <f t="shared" si="11"/>
        <v>-0.3141361256544517</v>
      </c>
      <c r="AI12" s="19">
        <v>1.6769166666666699</v>
      </c>
      <c r="AJ12" s="10">
        <v>110.658333333333</v>
      </c>
      <c r="AK12" s="10">
        <v>97.841666666666697</v>
      </c>
      <c r="AL12" s="19">
        <f t="shared" si="8"/>
        <v>1.1309939528149184</v>
      </c>
      <c r="AM12" s="30">
        <v>11</v>
      </c>
    </row>
    <row r="13" spans="1:39" x14ac:dyDescent="0.25">
      <c r="A13">
        <v>2006</v>
      </c>
      <c r="B13" s="16">
        <v>540566</v>
      </c>
      <c r="C13" s="16">
        <f t="shared" si="0"/>
        <v>4.2264407627774609</v>
      </c>
      <c r="D13" s="21">
        <f t="shared" si="9"/>
        <v>1.0048730098606189</v>
      </c>
      <c r="E13" s="16">
        <v>0.7</v>
      </c>
      <c r="F13" s="16">
        <v>293508.59999999998</v>
      </c>
      <c r="G13" s="16">
        <f t="shared" si="1"/>
        <v>119256.30000000002</v>
      </c>
      <c r="H13" s="16">
        <v>27354.6</v>
      </c>
      <c r="I13" s="16">
        <v>91710.1</v>
      </c>
      <c r="J13" s="16">
        <v>191.6</v>
      </c>
      <c r="K13" s="16">
        <f t="shared" si="2"/>
        <v>120862.90000000001</v>
      </c>
      <c r="L13" s="16">
        <v>93706.1</v>
      </c>
      <c r="M13" s="16">
        <v>27159</v>
      </c>
      <c r="N13" s="16">
        <v>-2.2000000000000002</v>
      </c>
      <c r="O13" s="16">
        <f t="shared" si="3"/>
        <v>115174.40000000002</v>
      </c>
      <c r="P13" s="16">
        <v>425391.6</v>
      </c>
      <c r="Q13" s="16">
        <v>100.5</v>
      </c>
      <c r="R13" s="10">
        <f t="shared" si="10"/>
        <v>-0.98522167487684609</v>
      </c>
      <c r="S13" s="10">
        <v>99.7</v>
      </c>
      <c r="T13" s="4">
        <f t="shared" si="4"/>
        <v>110466</v>
      </c>
      <c r="U13" s="4">
        <v>127901</v>
      </c>
      <c r="V13" s="4">
        <v>17435</v>
      </c>
      <c r="W13">
        <v>6664</v>
      </c>
      <c r="X13">
        <v>6389</v>
      </c>
      <c r="Y13">
        <v>275</v>
      </c>
      <c r="Z13" s="10">
        <f t="shared" si="5"/>
        <v>93.137254901960787</v>
      </c>
      <c r="AA13" s="10">
        <f t="shared" si="6"/>
        <v>104.5</v>
      </c>
      <c r="AB13" s="10">
        <v>104.5</v>
      </c>
      <c r="AC13" s="10">
        <v>0.2</v>
      </c>
      <c r="AD13" s="10">
        <f t="shared" si="7"/>
        <v>112.2</v>
      </c>
      <c r="AE13" s="10">
        <v>112.2</v>
      </c>
      <c r="AF13" s="10">
        <v>0.5</v>
      </c>
      <c r="AG13" s="10">
        <v>95.5</v>
      </c>
      <c r="AH13" s="10">
        <f t="shared" si="11"/>
        <v>0.31512605042016695</v>
      </c>
      <c r="AI13" s="19">
        <v>1.6648333333333301</v>
      </c>
      <c r="AJ13" s="10">
        <v>109.783333333333</v>
      </c>
      <c r="AK13" s="10">
        <v>111.45</v>
      </c>
      <c r="AL13" s="19">
        <f t="shared" si="8"/>
        <v>0.98504561088679232</v>
      </c>
      <c r="AM13" s="30">
        <v>12</v>
      </c>
    </row>
    <row r="14" spans="1:39" x14ac:dyDescent="0.25">
      <c r="A14">
        <v>2007</v>
      </c>
      <c r="B14" s="16">
        <v>544571.1</v>
      </c>
      <c r="C14" s="16">
        <f t="shared" si="0"/>
        <v>4.2533651480477683</v>
      </c>
      <c r="D14" s="21">
        <f t="shared" si="9"/>
        <v>1.0063704631820307</v>
      </c>
      <c r="E14" s="16">
        <v>0.2</v>
      </c>
      <c r="F14" s="16">
        <v>294745.09999999998</v>
      </c>
      <c r="G14" s="16">
        <f t="shared" si="1"/>
        <v>119838.3</v>
      </c>
      <c r="H14" s="16">
        <v>25245.5</v>
      </c>
      <c r="I14" s="16">
        <v>92758.7</v>
      </c>
      <c r="J14" s="16">
        <v>1834.1</v>
      </c>
      <c r="K14" s="16">
        <f t="shared" si="2"/>
        <v>120498.79999999999</v>
      </c>
      <c r="L14" s="16">
        <v>94372.800000000003</v>
      </c>
      <c r="M14" s="16">
        <v>26078.1</v>
      </c>
      <c r="N14" s="16">
        <v>47.9</v>
      </c>
      <c r="O14" s="16">
        <f t="shared" si="3"/>
        <v>118188.5</v>
      </c>
      <c r="P14" s="16">
        <v>426382.6</v>
      </c>
      <c r="Q14" s="16">
        <v>99.5</v>
      </c>
      <c r="R14" s="10">
        <f t="shared" si="10"/>
        <v>-0.99502487562188602</v>
      </c>
      <c r="S14" s="10">
        <v>99.3</v>
      </c>
      <c r="T14" s="4">
        <f t="shared" si="4"/>
        <v>110740</v>
      </c>
      <c r="U14" s="4">
        <v>128033</v>
      </c>
      <c r="V14" s="4">
        <v>17293</v>
      </c>
      <c r="W14">
        <v>6684</v>
      </c>
      <c r="X14">
        <v>6427</v>
      </c>
      <c r="Y14">
        <v>257</v>
      </c>
      <c r="Z14" s="10">
        <f t="shared" si="5"/>
        <v>92.908438061041281</v>
      </c>
      <c r="AA14" s="10">
        <f t="shared" si="6"/>
        <v>103.5</v>
      </c>
      <c r="AB14" s="10">
        <v>103.5</v>
      </c>
      <c r="AC14" s="10">
        <v>-0.9</v>
      </c>
      <c r="AD14" s="10">
        <f t="shared" si="7"/>
        <v>111.4</v>
      </c>
      <c r="AE14" s="10">
        <v>111.4</v>
      </c>
      <c r="AF14" s="10">
        <v>-0.8</v>
      </c>
      <c r="AG14" s="10">
        <v>95.5</v>
      </c>
      <c r="AH14" s="10">
        <f t="shared" si="11"/>
        <v>0</v>
      </c>
      <c r="AI14" s="19">
        <v>1.8832500000000001</v>
      </c>
      <c r="AJ14" s="10">
        <v>110.041666666667</v>
      </c>
      <c r="AK14" s="10">
        <v>119.841666666667</v>
      </c>
      <c r="AL14" s="19">
        <f t="shared" si="8"/>
        <v>0.91822543633961506</v>
      </c>
      <c r="AM14" s="30">
        <v>13</v>
      </c>
    </row>
    <row r="15" spans="1:39" x14ac:dyDescent="0.25">
      <c r="A15">
        <v>2008</v>
      </c>
      <c r="B15" s="16">
        <v>533355.4</v>
      </c>
      <c r="C15" s="16">
        <f t="shared" si="0"/>
        <v>4.1641063676961991</v>
      </c>
      <c r="D15" s="21">
        <f t="shared" si="9"/>
        <v>0.97901455030435425</v>
      </c>
      <c r="E15" s="16">
        <v>-3.9</v>
      </c>
      <c r="F15" s="16">
        <v>293475.40000000002</v>
      </c>
      <c r="G15" s="16">
        <f t="shared" si="1"/>
        <v>118293.79999999999</v>
      </c>
      <c r="H15" s="16">
        <v>24333</v>
      </c>
      <c r="I15" s="16">
        <v>90952.9</v>
      </c>
      <c r="J15" s="16">
        <v>3007.9</v>
      </c>
      <c r="K15" s="16">
        <f t="shared" si="2"/>
        <v>119792.19999999998</v>
      </c>
      <c r="L15" s="16">
        <v>94304.4</v>
      </c>
      <c r="M15" s="16">
        <v>25450.400000000001</v>
      </c>
      <c r="N15" s="16">
        <v>37.4</v>
      </c>
      <c r="O15" s="16">
        <f t="shared" si="3"/>
        <v>139816.80000000005</v>
      </c>
      <c r="P15" s="16">
        <v>393538.6</v>
      </c>
      <c r="Q15" s="16">
        <v>98.6</v>
      </c>
      <c r="R15" s="10">
        <f t="shared" si="10"/>
        <v>-0.90452261306532833</v>
      </c>
      <c r="S15" s="10">
        <v>100</v>
      </c>
      <c r="T15" s="4">
        <f t="shared" si="4"/>
        <v>110908</v>
      </c>
      <c r="U15" s="4">
        <v>128084</v>
      </c>
      <c r="V15" s="4">
        <v>17176</v>
      </c>
      <c r="W15">
        <v>6674</v>
      </c>
      <c r="X15">
        <v>6409</v>
      </c>
      <c r="Y15">
        <v>265</v>
      </c>
      <c r="Z15" s="10">
        <f t="shared" si="5"/>
        <v>93.738656987295826</v>
      </c>
      <c r="AA15" s="10">
        <f t="shared" si="6"/>
        <v>103.3</v>
      </c>
      <c r="AB15" s="10">
        <v>103.3</v>
      </c>
      <c r="AC15" s="10">
        <v>-0.3</v>
      </c>
      <c r="AD15" s="10">
        <f t="shared" si="7"/>
        <v>110.2</v>
      </c>
      <c r="AE15" s="10">
        <v>110.2</v>
      </c>
      <c r="AF15" s="10">
        <v>-1.2</v>
      </c>
      <c r="AG15" s="10">
        <v>96.8</v>
      </c>
      <c r="AH15" s="10">
        <f t="shared" si="11"/>
        <v>1.3612565445026092</v>
      </c>
      <c r="AI15" s="19">
        <v>1.9095</v>
      </c>
      <c r="AJ15" s="10">
        <v>112.325</v>
      </c>
      <c r="AK15" s="10">
        <v>130.15</v>
      </c>
      <c r="AL15" s="19">
        <f t="shared" si="8"/>
        <v>0.86304264310411061</v>
      </c>
      <c r="AM15" s="30">
        <v>14</v>
      </c>
    </row>
    <row r="16" spans="1:39" x14ac:dyDescent="0.25">
      <c r="A16">
        <v>2009</v>
      </c>
      <c r="B16" s="16">
        <v>499361.7</v>
      </c>
      <c r="C16" s="16">
        <f t="shared" si="0"/>
        <v>3.9002882091977007</v>
      </c>
      <c r="D16" s="21">
        <f t="shared" si="9"/>
        <v>0.93664471192544096</v>
      </c>
      <c r="E16" s="16">
        <v>-4.0999999999999996</v>
      </c>
      <c r="F16" s="16">
        <v>283897.2</v>
      </c>
      <c r="G16" s="16">
        <f t="shared" si="1"/>
        <v>91724.6</v>
      </c>
      <c r="H16" s="16">
        <v>19546.400000000001</v>
      </c>
      <c r="I16" s="16">
        <v>77307.600000000006</v>
      </c>
      <c r="J16" s="16">
        <v>-5129.3999999999996</v>
      </c>
      <c r="K16" s="16">
        <f t="shared" si="2"/>
        <v>121523.2</v>
      </c>
      <c r="L16" s="16">
        <v>95100.800000000003</v>
      </c>
      <c r="M16" s="16">
        <v>26408.5</v>
      </c>
      <c r="N16" s="16">
        <v>13.9</v>
      </c>
      <c r="O16" s="16">
        <f t="shared" si="3"/>
        <v>118820.79999999999</v>
      </c>
      <c r="P16" s="16">
        <v>380540.9</v>
      </c>
      <c r="Q16" s="16">
        <v>98.2</v>
      </c>
      <c r="R16" s="10">
        <f t="shared" si="10"/>
        <v>-0.40567951318457585</v>
      </c>
      <c r="S16" s="10">
        <v>97.6</v>
      </c>
      <c r="T16" s="4">
        <f t="shared" si="4"/>
        <v>111021</v>
      </c>
      <c r="U16" s="4">
        <v>128032</v>
      </c>
      <c r="V16" s="4">
        <v>17011</v>
      </c>
      <c r="W16">
        <v>6650</v>
      </c>
      <c r="X16">
        <v>6314</v>
      </c>
      <c r="Y16">
        <v>336</v>
      </c>
      <c r="Z16" s="10">
        <f t="shared" si="5"/>
        <v>92.803738317757009</v>
      </c>
      <c r="AA16" s="10">
        <f t="shared" si="6"/>
        <v>99.3</v>
      </c>
      <c r="AB16" s="10">
        <v>99.3</v>
      </c>
      <c r="AC16" s="10">
        <v>-3.8</v>
      </c>
      <c r="AD16" s="10">
        <f t="shared" si="7"/>
        <v>107</v>
      </c>
      <c r="AE16" s="10">
        <v>107</v>
      </c>
      <c r="AF16" s="10">
        <v>-2.8</v>
      </c>
      <c r="AG16" s="10">
        <v>95.5</v>
      </c>
      <c r="AH16" s="10">
        <f t="shared" si="11"/>
        <v>-1.342975206611563</v>
      </c>
      <c r="AI16" s="19">
        <v>1.7233333333333301</v>
      </c>
      <c r="AJ16" s="10">
        <v>108.64166666666701</v>
      </c>
      <c r="AK16" s="10">
        <v>97.108333333333306</v>
      </c>
      <c r="AL16" s="19">
        <f t="shared" si="8"/>
        <v>1.1187676993049038</v>
      </c>
      <c r="AM16" s="30">
        <v>15</v>
      </c>
    </row>
    <row r="17" spans="1:39" x14ac:dyDescent="0.25">
      <c r="A17">
        <v>2010</v>
      </c>
      <c r="B17" s="16">
        <v>510139.6</v>
      </c>
      <c r="C17" s="16">
        <f t="shared" si="0"/>
        <v>3.9836916373177567</v>
      </c>
      <c r="D17" s="21">
        <f t="shared" si="9"/>
        <v>1.0213839141229033</v>
      </c>
      <c r="E17" s="16">
        <v>1.7</v>
      </c>
      <c r="F17" s="16">
        <v>286441</v>
      </c>
      <c r="G17" s="16">
        <f t="shared" si="1"/>
        <v>94525.000000000015</v>
      </c>
      <c r="H17" s="16">
        <v>19290.599999999999</v>
      </c>
      <c r="I17" s="16">
        <v>75167.100000000006</v>
      </c>
      <c r="J17" s="16">
        <v>67.3</v>
      </c>
      <c r="K17" s="16">
        <f t="shared" si="2"/>
        <v>122411.90000000001</v>
      </c>
      <c r="L17" s="16">
        <v>96685.6</v>
      </c>
      <c r="M17" s="16">
        <v>25749.1</v>
      </c>
      <c r="N17" s="16">
        <v>-22.8</v>
      </c>
      <c r="O17" s="16">
        <f t="shared" si="3"/>
        <v>116293.29999999999</v>
      </c>
      <c r="P17" s="16">
        <v>393846.3</v>
      </c>
      <c r="Q17" s="16">
        <v>96.3</v>
      </c>
      <c r="R17" s="10">
        <f t="shared" si="10"/>
        <v>-1.9348268839103899</v>
      </c>
      <c r="S17" s="10">
        <v>96.2</v>
      </c>
      <c r="T17" s="4">
        <f t="shared" si="4"/>
        <v>111254</v>
      </c>
      <c r="U17" s="4">
        <v>128057</v>
      </c>
      <c r="V17" s="4">
        <v>16803</v>
      </c>
      <c r="W17">
        <v>6632</v>
      </c>
      <c r="X17">
        <v>6298</v>
      </c>
      <c r="Y17">
        <v>334</v>
      </c>
      <c r="Z17" s="10">
        <f t="shared" si="5"/>
        <v>91.988950276243102</v>
      </c>
      <c r="AA17" s="10">
        <f t="shared" si="6"/>
        <v>99.9</v>
      </c>
      <c r="AB17" s="10">
        <v>99.9</v>
      </c>
      <c r="AC17" s="10">
        <v>0.6</v>
      </c>
      <c r="AD17" s="10">
        <f t="shared" si="7"/>
        <v>108.6</v>
      </c>
      <c r="AE17" s="10">
        <v>108.6</v>
      </c>
      <c r="AF17" s="10">
        <v>1.5</v>
      </c>
      <c r="AG17" s="10">
        <v>94.8</v>
      </c>
      <c r="AH17" s="10">
        <f t="shared" si="11"/>
        <v>-0.73298429319371694</v>
      </c>
      <c r="AI17" s="19">
        <v>1.5983333333333301</v>
      </c>
      <c r="AJ17" s="10">
        <v>110.966666666667</v>
      </c>
      <c r="AK17" s="10">
        <v>104.008333333333</v>
      </c>
      <c r="AL17" s="19">
        <f t="shared" si="8"/>
        <v>1.0669016905696724</v>
      </c>
      <c r="AM17" s="30">
        <v>16</v>
      </c>
    </row>
    <row r="18" spans="1:39" x14ac:dyDescent="0.25">
      <c r="A18">
        <v>2011</v>
      </c>
      <c r="B18" s="16">
        <v>501142</v>
      </c>
      <c r="C18" s="16">
        <f t="shared" si="0"/>
        <v>3.9202559569441622</v>
      </c>
      <c r="D18" s="21">
        <f t="shared" si="9"/>
        <v>0.98407615695468187</v>
      </c>
      <c r="E18" s="16">
        <v>-1</v>
      </c>
      <c r="F18" s="16">
        <v>283221.5</v>
      </c>
      <c r="G18" s="16">
        <f t="shared" si="1"/>
        <v>98202.3</v>
      </c>
      <c r="H18" s="16">
        <v>20710.900000000001</v>
      </c>
      <c r="I18" s="16">
        <v>76572.7</v>
      </c>
      <c r="J18" s="16">
        <v>918.7</v>
      </c>
      <c r="K18" s="16">
        <f t="shared" si="2"/>
        <v>122937.1</v>
      </c>
      <c r="L18" s="16">
        <v>98602.3</v>
      </c>
      <c r="M18" s="16">
        <v>24310.9</v>
      </c>
      <c r="N18" s="16">
        <v>23.9</v>
      </c>
      <c r="O18" s="16">
        <f t="shared" si="3"/>
        <v>113477.5</v>
      </c>
      <c r="P18" s="16">
        <v>387664.5</v>
      </c>
      <c r="Q18" s="16">
        <v>94.8</v>
      </c>
      <c r="R18" s="10">
        <f t="shared" si="10"/>
        <v>-1.5576323987538943</v>
      </c>
      <c r="S18" s="10">
        <v>95.7</v>
      </c>
      <c r="T18" s="4">
        <f t="shared" si="4"/>
        <v>111129</v>
      </c>
      <c r="U18" s="4">
        <v>127834</v>
      </c>
      <c r="V18" s="4">
        <v>16705</v>
      </c>
      <c r="W18" s="7">
        <v>6596</v>
      </c>
      <c r="X18" s="7">
        <v>6293</v>
      </c>
      <c r="Y18" s="7">
        <v>302</v>
      </c>
      <c r="Z18" s="10">
        <f t="shared" si="5"/>
        <v>92.059095106186533</v>
      </c>
      <c r="AA18" s="10">
        <f t="shared" si="6"/>
        <v>99.7</v>
      </c>
      <c r="AB18" s="10">
        <v>99.7</v>
      </c>
      <c r="AC18" s="10">
        <v>-0.3</v>
      </c>
      <c r="AD18" s="10">
        <f t="shared" si="7"/>
        <v>108.3</v>
      </c>
      <c r="AE18" s="10">
        <v>108.3</v>
      </c>
      <c r="AF18" s="10">
        <v>-0.3</v>
      </c>
      <c r="AG18" s="10">
        <v>94.5</v>
      </c>
      <c r="AH18" s="10">
        <f t="shared" si="11"/>
        <v>-0.31645569620253333</v>
      </c>
      <c r="AI18" s="19">
        <v>1.50091666666667</v>
      </c>
      <c r="AJ18" s="10">
        <v>114.416666666667</v>
      </c>
      <c r="AK18" s="10">
        <v>111.791666666667</v>
      </c>
      <c r="AL18" s="19">
        <f t="shared" si="8"/>
        <v>1.0234811777860604</v>
      </c>
      <c r="AM18" s="30">
        <v>17</v>
      </c>
    </row>
    <row r="19" spans="1:39" x14ac:dyDescent="0.25">
      <c r="A19">
        <v>2012</v>
      </c>
      <c r="B19" s="16">
        <v>505377.1</v>
      </c>
      <c r="C19" s="16">
        <f t="shared" si="0"/>
        <v>3.9608528681040496</v>
      </c>
      <c r="D19" s="21">
        <f t="shared" si="9"/>
        <v>1.0103556787122474</v>
      </c>
      <c r="E19" s="16">
        <v>0.1</v>
      </c>
      <c r="F19" s="16">
        <v>287611.09999999998</v>
      </c>
      <c r="G19" s="16">
        <f t="shared" si="1"/>
        <v>101490.5</v>
      </c>
      <c r="H19" s="16">
        <v>20983.5</v>
      </c>
      <c r="I19" s="16">
        <v>79409.3</v>
      </c>
      <c r="J19" s="16">
        <v>1097.7</v>
      </c>
      <c r="K19" s="16">
        <f t="shared" si="2"/>
        <v>124495.2</v>
      </c>
      <c r="L19" s="16">
        <v>99708.4</v>
      </c>
      <c r="M19" s="16">
        <v>24742.5</v>
      </c>
      <c r="N19" s="16">
        <v>44.3</v>
      </c>
      <c r="O19" s="16">
        <f t="shared" si="3"/>
        <v>116089.5</v>
      </c>
      <c r="P19" s="16">
        <v>389287.6</v>
      </c>
      <c r="Q19" s="16">
        <v>94.1</v>
      </c>
      <c r="R19" s="10">
        <f t="shared" si="10"/>
        <v>-0.73839662447258148</v>
      </c>
      <c r="S19" s="10">
        <v>95.1</v>
      </c>
      <c r="T19" s="4">
        <f t="shared" si="4"/>
        <v>111046</v>
      </c>
      <c r="U19" s="4">
        <v>127593</v>
      </c>
      <c r="V19" s="4">
        <v>16547</v>
      </c>
      <c r="W19">
        <v>6565</v>
      </c>
      <c r="X19">
        <v>6280</v>
      </c>
      <c r="Y19">
        <v>285</v>
      </c>
      <c r="Z19" s="10">
        <f t="shared" si="5"/>
        <v>90.725436179981628</v>
      </c>
      <c r="AA19" s="10">
        <f t="shared" si="6"/>
        <v>98.8</v>
      </c>
      <c r="AB19" s="10">
        <v>98.8</v>
      </c>
      <c r="AC19" s="10">
        <v>-0.8</v>
      </c>
      <c r="AD19" s="10">
        <f t="shared" si="7"/>
        <v>108.9</v>
      </c>
      <c r="AE19" s="10">
        <v>108.9</v>
      </c>
      <c r="AF19" s="10">
        <v>0.5</v>
      </c>
      <c r="AG19" s="10">
        <v>94.5</v>
      </c>
      <c r="AH19" s="10">
        <f t="shared" si="11"/>
        <v>0</v>
      </c>
      <c r="AI19" s="19">
        <v>1.4075</v>
      </c>
      <c r="AJ19" s="10">
        <v>112.75</v>
      </c>
      <c r="AK19" s="10">
        <v>111.558333333333</v>
      </c>
      <c r="AL19" s="19">
        <f t="shared" si="8"/>
        <v>1.0106820049301593</v>
      </c>
      <c r="AM19" s="30">
        <v>18</v>
      </c>
    </row>
    <row r="20" spans="1:39" x14ac:dyDescent="0.25">
      <c r="A20">
        <v>2013</v>
      </c>
      <c r="B20" s="16">
        <v>514553.3</v>
      </c>
      <c r="C20" s="16">
        <f t="shared" si="0"/>
        <v>4.0384361216192879</v>
      </c>
      <c r="D20" s="21">
        <f t="shared" si="9"/>
        <v>1.0195875121088189</v>
      </c>
      <c r="E20" s="16">
        <v>2.9</v>
      </c>
      <c r="F20" s="16">
        <v>295249.40000000002</v>
      </c>
      <c r="G20" s="16">
        <f t="shared" si="1"/>
        <v>104172.8</v>
      </c>
      <c r="H20" s="16">
        <v>23039.3</v>
      </c>
      <c r="I20" s="16">
        <v>81868</v>
      </c>
      <c r="J20" s="16">
        <v>-734.5</v>
      </c>
      <c r="K20" s="16">
        <f t="shared" si="2"/>
        <v>127397.7</v>
      </c>
      <c r="L20" s="16">
        <v>101012.3</v>
      </c>
      <c r="M20" s="16">
        <v>26404.6</v>
      </c>
      <c r="N20" s="16">
        <v>-19.2</v>
      </c>
      <c r="O20" s="16">
        <f t="shared" si="3"/>
        <v>109296.29999999999</v>
      </c>
      <c r="P20" s="16">
        <v>405257</v>
      </c>
      <c r="Q20" s="16">
        <v>93.9</v>
      </c>
      <c r="R20" s="10">
        <f t="shared" si="10"/>
        <v>-0.21253985122209329</v>
      </c>
      <c r="S20" s="10">
        <v>95</v>
      </c>
      <c r="T20" s="4">
        <f t="shared" si="4"/>
        <v>111024</v>
      </c>
      <c r="U20" s="4">
        <v>127414</v>
      </c>
      <c r="V20" s="4">
        <v>16390</v>
      </c>
      <c r="W20">
        <v>6593</v>
      </c>
      <c r="X20">
        <v>6326</v>
      </c>
      <c r="Y20">
        <v>265</v>
      </c>
      <c r="Z20" s="10">
        <f t="shared" si="5"/>
        <v>91.457753017641593</v>
      </c>
      <c r="AA20" s="10">
        <f t="shared" si="6"/>
        <v>98.5</v>
      </c>
      <c r="AB20" s="10">
        <v>98.5</v>
      </c>
      <c r="AC20" s="10">
        <v>-0.2</v>
      </c>
      <c r="AD20" s="10">
        <f t="shared" si="7"/>
        <v>107.7</v>
      </c>
      <c r="AE20" s="10">
        <v>107.7</v>
      </c>
      <c r="AF20" s="10">
        <v>-1.1000000000000001</v>
      </c>
      <c r="AG20" s="10">
        <v>94.9</v>
      </c>
      <c r="AH20" s="10">
        <f t="shared" si="11"/>
        <v>0.42328042328043658</v>
      </c>
      <c r="AI20" s="19">
        <v>1.30375</v>
      </c>
      <c r="AJ20" s="10">
        <v>110.708333333333</v>
      </c>
      <c r="AK20" s="10">
        <v>127.708333333333</v>
      </c>
      <c r="AL20" s="19">
        <f t="shared" si="8"/>
        <v>0.86688417618270763</v>
      </c>
      <c r="AM20" s="30">
        <v>19</v>
      </c>
    </row>
    <row r="21" spans="1:39" x14ac:dyDescent="0.25">
      <c r="A21">
        <v>2014</v>
      </c>
      <c r="B21" s="16">
        <v>528215.6</v>
      </c>
      <c r="C21" s="16">
        <f t="shared" si="0"/>
        <v>4.1514307945015991</v>
      </c>
      <c r="D21" s="21">
        <f t="shared" si="9"/>
        <v>1.0279798093815098</v>
      </c>
      <c r="E21" s="16">
        <v>2.8</v>
      </c>
      <c r="F21" s="16">
        <v>299134.2</v>
      </c>
      <c r="G21" s="16">
        <f t="shared" si="1"/>
        <v>111396.7</v>
      </c>
      <c r="H21" s="16">
        <v>23172</v>
      </c>
      <c r="I21" s="16">
        <v>88612.800000000003</v>
      </c>
      <c r="J21" s="16">
        <v>-388.1</v>
      </c>
      <c r="K21" s="16">
        <f t="shared" si="2"/>
        <v>131146.9</v>
      </c>
      <c r="L21" s="16">
        <v>103369.5</v>
      </c>
      <c r="M21" s="16">
        <v>27671.5</v>
      </c>
      <c r="N21" s="16">
        <v>105.9</v>
      </c>
      <c r="O21" s="16">
        <f t="shared" si="3"/>
        <v>111857.5</v>
      </c>
      <c r="P21" s="16">
        <v>416358.1</v>
      </c>
      <c r="Q21" s="16">
        <v>95.5</v>
      </c>
      <c r="R21" s="10">
        <f t="shared" si="10"/>
        <v>1.7039403620873195</v>
      </c>
      <c r="S21" s="10">
        <v>96.9</v>
      </c>
      <c r="T21" s="4">
        <f t="shared" si="4"/>
        <v>111004</v>
      </c>
      <c r="U21" s="4">
        <v>127237</v>
      </c>
      <c r="V21" s="4">
        <v>16233</v>
      </c>
      <c r="W21">
        <v>6609</v>
      </c>
      <c r="X21">
        <v>6371</v>
      </c>
      <c r="Y21">
        <v>236</v>
      </c>
      <c r="Z21" s="10">
        <f t="shared" si="5"/>
        <v>92.264678471575024</v>
      </c>
      <c r="AA21" s="10">
        <f t="shared" si="6"/>
        <v>99</v>
      </c>
      <c r="AB21" s="10">
        <v>99</v>
      </c>
      <c r="AC21" s="10">
        <v>0.5</v>
      </c>
      <c r="AD21" s="10">
        <f t="shared" si="7"/>
        <v>107.3</v>
      </c>
      <c r="AE21" s="10">
        <v>107.3</v>
      </c>
      <c r="AF21" s="10">
        <v>-0.3</v>
      </c>
      <c r="AG21" s="10">
        <v>97.5</v>
      </c>
      <c r="AH21" s="10">
        <f t="shared" si="11"/>
        <v>2.739726027397249</v>
      </c>
      <c r="AI21" s="19">
        <v>1.2191666666666701</v>
      </c>
      <c r="AJ21" s="10">
        <v>108.708333333333</v>
      </c>
      <c r="AK21" s="10">
        <v>133.083333333333</v>
      </c>
      <c r="AL21" s="19">
        <f t="shared" si="8"/>
        <v>0.81684408265497765</v>
      </c>
      <c r="AM21" s="30">
        <v>20</v>
      </c>
    </row>
    <row r="22" spans="1:39" x14ac:dyDescent="0.25">
      <c r="A22">
        <v>2015</v>
      </c>
      <c r="B22" s="16">
        <v>548866.69999999995</v>
      </c>
      <c r="C22" s="16">
        <f t="shared" si="0"/>
        <v>4.3185546244934887</v>
      </c>
      <c r="D22" s="21">
        <f t="shared" si="9"/>
        <v>1.0402569230380134</v>
      </c>
      <c r="E22" s="16">
        <v>3.4</v>
      </c>
      <c r="F22" s="16">
        <v>300946.59999999998</v>
      </c>
      <c r="G22" s="16">
        <f t="shared" si="1"/>
        <v>118870.39999999999</v>
      </c>
      <c r="H22" s="16">
        <v>23389.5</v>
      </c>
      <c r="I22" s="16">
        <v>94492</v>
      </c>
      <c r="J22" s="16">
        <v>988.9</v>
      </c>
      <c r="K22" s="16">
        <f t="shared" si="2"/>
        <v>132032.30000000002</v>
      </c>
      <c r="L22" s="16">
        <v>105166.7</v>
      </c>
      <c r="M22" s="16">
        <v>26869.5</v>
      </c>
      <c r="N22" s="16">
        <v>-3.9</v>
      </c>
      <c r="O22" s="16">
        <f t="shared" si="3"/>
        <v>112482.29999999993</v>
      </c>
      <c r="P22" s="16">
        <v>436384.4</v>
      </c>
      <c r="Q22" s="16">
        <v>97.5</v>
      </c>
      <c r="R22" s="10">
        <f t="shared" si="10"/>
        <v>2.0942408376963373</v>
      </c>
      <c r="S22" s="10">
        <v>97.4</v>
      </c>
      <c r="T22" s="4">
        <f t="shared" si="4"/>
        <v>111208</v>
      </c>
      <c r="U22" s="4">
        <v>127095</v>
      </c>
      <c r="V22" s="4">
        <v>15887</v>
      </c>
      <c r="W22">
        <v>6625</v>
      </c>
      <c r="X22">
        <v>6402</v>
      </c>
      <c r="Y22">
        <v>222</v>
      </c>
      <c r="Z22" s="10">
        <f t="shared" si="5"/>
        <v>92.703461178671645</v>
      </c>
      <c r="AA22" s="10">
        <f t="shared" si="6"/>
        <v>99.1</v>
      </c>
      <c r="AB22" s="10">
        <v>99.1</v>
      </c>
      <c r="AC22" s="10">
        <v>0.1</v>
      </c>
      <c r="AD22" s="10">
        <f t="shared" si="7"/>
        <v>106.9</v>
      </c>
      <c r="AE22" s="10">
        <v>106.9</v>
      </c>
      <c r="AF22" s="10">
        <v>-0.3</v>
      </c>
      <c r="AG22" s="10">
        <v>98.2</v>
      </c>
      <c r="AH22" s="10">
        <f t="shared" si="11"/>
        <v>0.71794871794872428</v>
      </c>
      <c r="AI22" s="19">
        <v>1.14283333333333</v>
      </c>
      <c r="AJ22" s="10">
        <v>102.64166666666701</v>
      </c>
      <c r="AK22" s="10">
        <v>118.116666666667</v>
      </c>
      <c r="AL22" s="19">
        <f t="shared" si="8"/>
        <v>0.8689854663468326</v>
      </c>
      <c r="AM22" s="30">
        <v>21</v>
      </c>
    </row>
    <row r="23" spans="1:39" x14ac:dyDescent="0.25">
      <c r="A23">
        <v>2016</v>
      </c>
      <c r="B23" s="16">
        <v>555970.6</v>
      </c>
      <c r="C23" s="16">
        <f t="shared" si="0"/>
        <v>4.3762739881299098</v>
      </c>
      <c r="D23" s="21">
        <f t="shared" si="9"/>
        <v>1.0133654355809361</v>
      </c>
      <c r="E23" s="16">
        <v>0.8</v>
      </c>
      <c r="F23" s="16">
        <v>298979.90000000002</v>
      </c>
      <c r="G23" s="16">
        <f t="shared" si="1"/>
        <v>118815.2</v>
      </c>
      <c r="H23" s="16">
        <v>23850</v>
      </c>
      <c r="I23" s="16">
        <v>94146</v>
      </c>
      <c r="J23" s="16">
        <v>819.2</v>
      </c>
      <c r="K23" s="16">
        <f t="shared" si="2"/>
        <v>133791.5</v>
      </c>
      <c r="L23" s="16">
        <v>106719.8</v>
      </c>
      <c r="M23" s="16">
        <v>27270.3</v>
      </c>
      <c r="N23" s="16">
        <v>-198.6</v>
      </c>
      <c r="O23" s="16">
        <f t="shared" si="3"/>
        <v>120822</v>
      </c>
      <c r="P23" s="16">
        <v>435148.6</v>
      </c>
      <c r="Q23" s="16">
        <v>98.1</v>
      </c>
      <c r="R23" s="10">
        <f t="shared" si="10"/>
        <v>0.61538461538461764</v>
      </c>
      <c r="S23" s="10">
        <v>97.1</v>
      </c>
      <c r="T23" s="4">
        <f t="shared" si="4"/>
        <v>111233</v>
      </c>
      <c r="U23" s="4">
        <v>127042</v>
      </c>
      <c r="V23" s="4">
        <v>15809</v>
      </c>
      <c r="W23">
        <v>6678</v>
      </c>
      <c r="X23">
        <v>6470</v>
      </c>
      <c r="Y23">
        <v>208</v>
      </c>
      <c r="Z23" s="10">
        <f t="shared" si="5"/>
        <v>93.791157102539984</v>
      </c>
      <c r="AA23" s="10">
        <f t="shared" si="6"/>
        <v>99.7</v>
      </c>
      <c r="AB23" s="10">
        <v>99.7</v>
      </c>
      <c r="AC23" s="10">
        <v>0.6</v>
      </c>
      <c r="AD23" s="10">
        <f t="shared" si="7"/>
        <v>106.3</v>
      </c>
      <c r="AE23" s="10">
        <v>106.3</v>
      </c>
      <c r="AF23" s="10">
        <v>-0.6</v>
      </c>
      <c r="AG23" s="10">
        <v>98.1</v>
      </c>
      <c r="AH23" s="10">
        <f t="shared" si="11"/>
        <v>-0.10183299389002753</v>
      </c>
      <c r="AI23" s="19">
        <v>1.0447500000000001</v>
      </c>
      <c r="AJ23" s="10">
        <v>99.424999999999997</v>
      </c>
      <c r="AK23" s="10">
        <v>98.7083333333333</v>
      </c>
      <c r="AL23" s="19">
        <f t="shared" si="8"/>
        <v>1.0072604474461802</v>
      </c>
      <c r="AM23" s="30">
        <v>22</v>
      </c>
    </row>
    <row r="24" spans="1:39" x14ac:dyDescent="0.25">
      <c r="A24">
        <v>2017</v>
      </c>
      <c r="B24" s="16">
        <v>565119</v>
      </c>
      <c r="C24" s="16">
        <f t="shared" si="0"/>
        <v>4.4525957500453046</v>
      </c>
      <c r="D24" s="21">
        <f t="shared" si="9"/>
        <v>1.0174398957017792</v>
      </c>
      <c r="E24" s="16">
        <v>2</v>
      </c>
      <c r="F24" s="16">
        <v>303099.90000000002</v>
      </c>
      <c r="G24" s="16">
        <f t="shared" si="1"/>
        <v>122919</v>
      </c>
      <c r="H24" s="16">
        <v>24292.400000000001</v>
      </c>
      <c r="I24" s="16">
        <v>97331.7</v>
      </c>
      <c r="J24" s="16">
        <v>1294.9000000000001</v>
      </c>
      <c r="K24" s="16">
        <f t="shared" si="2"/>
        <v>134902.20000000001</v>
      </c>
      <c r="L24" s="16">
        <v>107304.2</v>
      </c>
      <c r="M24" s="16">
        <v>27682</v>
      </c>
      <c r="N24" s="16">
        <v>-84</v>
      </c>
      <c r="O24" s="16">
        <f t="shared" si="3"/>
        <v>121413.40000000002</v>
      </c>
      <c r="P24" s="16">
        <v>443705.59999999998</v>
      </c>
      <c r="Q24" s="16">
        <v>98.1</v>
      </c>
      <c r="R24" s="10">
        <f t="shared" si="10"/>
        <v>0</v>
      </c>
      <c r="S24" s="10">
        <v>97.6</v>
      </c>
      <c r="T24" s="4">
        <f t="shared" si="4"/>
        <v>111278</v>
      </c>
      <c r="U24" s="4">
        <v>126919</v>
      </c>
      <c r="V24" s="4">
        <v>15641</v>
      </c>
      <c r="W24">
        <v>6732</v>
      </c>
      <c r="X24">
        <v>6542</v>
      </c>
      <c r="Y24">
        <v>190</v>
      </c>
      <c r="Z24" s="10">
        <f t="shared" si="5"/>
        <v>94.439208294062212</v>
      </c>
      <c r="AA24" s="10">
        <f t="shared" si="6"/>
        <v>100.2</v>
      </c>
      <c r="AB24" s="10">
        <v>100.2</v>
      </c>
      <c r="AC24" s="10">
        <v>0.4</v>
      </c>
      <c r="AD24" s="10">
        <f t="shared" si="7"/>
        <v>106.1</v>
      </c>
      <c r="AE24" s="10">
        <v>106.1</v>
      </c>
      <c r="AF24" s="10">
        <v>-0.2</v>
      </c>
      <c r="AG24" s="10">
        <v>98.6</v>
      </c>
      <c r="AH24" s="10">
        <f t="shared" si="11"/>
        <v>0.50968399592252744</v>
      </c>
      <c r="AI24" s="19">
        <v>0.96941666666666704</v>
      </c>
      <c r="AJ24" s="10">
        <v>102.791666666667</v>
      </c>
      <c r="AK24" s="10">
        <v>109.52500000000001</v>
      </c>
      <c r="AL24" s="19">
        <f t="shared" si="8"/>
        <v>0.93852240736514037</v>
      </c>
      <c r="AM24" s="30">
        <v>23</v>
      </c>
    </row>
    <row r="25" spans="1:39" x14ac:dyDescent="0.25">
      <c r="A25">
        <v>2018</v>
      </c>
      <c r="B25" s="16">
        <v>569153.5</v>
      </c>
      <c r="C25" s="16">
        <f t="shared" si="0"/>
        <v>4.4903983463380381</v>
      </c>
      <c r="D25" s="21">
        <f t="shared" si="9"/>
        <v>1.0084900131102961</v>
      </c>
      <c r="E25" s="16">
        <v>0.4</v>
      </c>
      <c r="F25" s="16">
        <v>305863</v>
      </c>
      <c r="G25" s="16">
        <f t="shared" si="1"/>
        <v>126171.90000000001</v>
      </c>
      <c r="H25" s="16">
        <v>23059.3</v>
      </c>
      <c r="I25" s="16">
        <v>100849.3</v>
      </c>
      <c r="J25" s="16">
        <v>2263.3000000000002</v>
      </c>
      <c r="K25" s="16">
        <f t="shared" si="2"/>
        <v>137012</v>
      </c>
      <c r="L25" s="16">
        <v>108736.4</v>
      </c>
      <c r="M25" s="16">
        <v>28245.599999999999</v>
      </c>
      <c r="N25" s="16">
        <v>30</v>
      </c>
      <c r="O25" s="16">
        <f t="shared" si="3"/>
        <v>119200</v>
      </c>
      <c r="P25" s="16">
        <v>449953.5</v>
      </c>
      <c r="Q25" s="16">
        <v>98</v>
      </c>
      <c r="R25" s="10">
        <f t="shared" si="10"/>
        <v>-0.10193679918449883</v>
      </c>
      <c r="S25" s="10">
        <v>98.3</v>
      </c>
      <c r="T25" s="4">
        <f t="shared" si="4"/>
        <v>111276</v>
      </c>
      <c r="U25" s="4">
        <v>126749</v>
      </c>
      <c r="V25" s="4">
        <v>15473</v>
      </c>
      <c r="W25">
        <v>6849</v>
      </c>
      <c r="X25">
        <v>6682</v>
      </c>
      <c r="Y25">
        <v>167</v>
      </c>
      <c r="Z25" s="10">
        <f t="shared" si="5"/>
        <v>96.577946768060826</v>
      </c>
      <c r="AA25" s="10">
        <f t="shared" si="6"/>
        <v>101.6</v>
      </c>
      <c r="AB25" s="10">
        <v>101.6</v>
      </c>
      <c r="AC25" s="10">
        <v>1.4</v>
      </c>
      <c r="AD25" s="10">
        <f t="shared" si="7"/>
        <v>105.2</v>
      </c>
      <c r="AE25" s="10">
        <v>105.2</v>
      </c>
      <c r="AF25" s="10">
        <v>-0.8</v>
      </c>
      <c r="AG25" s="10">
        <v>99.5</v>
      </c>
      <c r="AH25" s="10">
        <f t="shared" si="11"/>
        <v>0.91277890466532341</v>
      </c>
      <c r="AI25" s="19">
        <v>0.92174999999999996</v>
      </c>
      <c r="AJ25" s="10">
        <v>104.916666666667</v>
      </c>
      <c r="AK25" s="10">
        <v>117.758333333333</v>
      </c>
      <c r="AL25" s="19">
        <f t="shared" si="8"/>
        <v>0.8909489774255237</v>
      </c>
      <c r="AM25" s="30">
        <v>24</v>
      </c>
    </row>
    <row r="26" spans="1:39" x14ac:dyDescent="0.25">
      <c r="A26">
        <v>2019</v>
      </c>
      <c r="B26" s="16">
        <v>571838</v>
      </c>
      <c r="C26" s="16">
        <f t="shared" si="0"/>
        <v>4.5184939354430878</v>
      </c>
      <c r="D26" s="21">
        <f t="shared" si="9"/>
        <v>1.0062568144155768</v>
      </c>
      <c r="E26" s="16">
        <v>0.1</v>
      </c>
      <c r="F26" s="16">
        <v>306008.7</v>
      </c>
      <c r="G26" s="16">
        <f t="shared" si="1"/>
        <v>127001.5</v>
      </c>
      <c r="H26" s="16">
        <v>24127.5</v>
      </c>
      <c r="I26" s="16">
        <v>101949.7</v>
      </c>
      <c r="J26" s="16">
        <v>924.3</v>
      </c>
      <c r="K26" s="16">
        <f t="shared" si="2"/>
        <v>140444.4</v>
      </c>
      <c r="L26" s="16">
        <v>111194.8</v>
      </c>
      <c r="M26" s="16">
        <v>29336.1</v>
      </c>
      <c r="N26" s="16">
        <v>-86.5</v>
      </c>
      <c r="O26" s="16">
        <f t="shared" si="3"/>
        <v>126747.59999999998</v>
      </c>
      <c r="P26" s="16">
        <v>445090.4</v>
      </c>
      <c r="Q26" s="16">
        <v>98.7</v>
      </c>
      <c r="R26" s="10">
        <f t="shared" si="10"/>
        <v>0.71428571428571175</v>
      </c>
      <c r="S26" s="10">
        <v>99.1</v>
      </c>
      <c r="T26" s="4">
        <f t="shared" si="4"/>
        <v>111296</v>
      </c>
      <c r="U26" s="4">
        <v>126555</v>
      </c>
      <c r="V26" s="4">
        <v>15259</v>
      </c>
      <c r="W26">
        <v>6912</v>
      </c>
      <c r="X26">
        <v>6750</v>
      </c>
      <c r="Y26">
        <v>162</v>
      </c>
      <c r="Z26" s="10">
        <f t="shared" si="5"/>
        <v>98.347910592808546</v>
      </c>
      <c r="AA26" s="10">
        <f t="shared" si="6"/>
        <v>101.2</v>
      </c>
      <c r="AB26" s="10">
        <v>101.2</v>
      </c>
      <c r="AC26" s="10">
        <v>-0.4</v>
      </c>
      <c r="AD26" s="10">
        <f t="shared" si="7"/>
        <v>102.9</v>
      </c>
      <c r="AE26" s="10">
        <v>102.9</v>
      </c>
      <c r="AF26" s="10">
        <v>-2.2000000000000002</v>
      </c>
      <c r="AG26" s="10">
        <v>100</v>
      </c>
      <c r="AH26" s="10">
        <f t="shared" si="11"/>
        <v>0.50251256281406143</v>
      </c>
      <c r="AI26" s="19">
        <v>0.88100000000000001</v>
      </c>
      <c r="AJ26" s="10">
        <v>102.091666666667</v>
      </c>
      <c r="AK26" s="10">
        <v>111.533333333333</v>
      </c>
      <c r="AL26" s="19">
        <f t="shared" si="8"/>
        <v>0.91534668260610252</v>
      </c>
      <c r="AM26" s="30">
        <v>25</v>
      </c>
    </row>
    <row r="27" spans="1:39" x14ac:dyDescent="0.25">
      <c r="A27">
        <v>2020</v>
      </c>
      <c r="B27" s="16">
        <v>554074.4</v>
      </c>
      <c r="C27" s="16">
        <f t="shared" si="0"/>
        <v>4.3923263520048197</v>
      </c>
      <c r="D27" s="21">
        <f t="shared" si="9"/>
        <v>0.97207751404763232</v>
      </c>
      <c r="E27" s="16">
        <v>-2.9</v>
      </c>
      <c r="F27" s="16">
        <v>293314.5</v>
      </c>
      <c r="G27" s="16">
        <f t="shared" si="1"/>
        <v>118258.7</v>
      </c>
      <c r="H27" s="16">
        <v>22620.799999999999</v>
      </c>
      <c r="I27" s="16">
        <v>97037.4</v>
      </c>
      <c r="J27" s="16">
        <v>-1399.5</v>
      </c>
      <c r="K27" s="16">
        <f t="shared" si="2"/>
        <v>143952</v>
      </c>
      <c r="L27" s="16">
        <v>113239.6</v>
      </c>
      <c r="M27" s="16">
        <v>30699.3</v>
      </c>
      <c r="N27" s="16">
        <v>13.1</v>
      </c>
      <c r="O27" s="16">
        <f t="shared" si="3"/>
        <v>131804.10000000003</v>
      </c>
      <c r="P27" s="16">
        <v>422270.3</v>
      </c>
      <c r="Q27" s="16">
        <v>100</v>
      </c>
      <c r="R27" s="10">
        <f t="shared" si="10"/>
        <v>1.3171225937183451</v>
      </c>
      <c r="S27" s="10">
        <v>100</v>
      </c>
      <c r="T27" s="5">
        <f t="shared" si="4"/>
        <v>111114</v>
      </c>
      <c r="U27" s="5">
        <v>126146</v>
      </c>
      <c r="V27" s="6">
        <v>15032</v>
      </c>
      <c r="W27">
        <v>6902</v>
      </c>
      <c r="X27">
        <v>6710</v>
      </c>
      <c r="Y27">
        <v>192</v>
      </c>
      <c r="Z27" s="10">
        <f t="shared" si="5"/>
        <v>100</v>
      </c>
      <c r="AA27" s="10">
        <f t="shared" si="6"/>
        <v>100</v>
      </c>
      <c r="AB27" s="10">
        <v>100</v>
      </c>
      <c r="AC27" s="10">
        <v>-1.2</v>
      </c>
      <c r="AD27" s="10">
        <f t="shared" si="7"/>
        <v>100</v>
      </c>
      <c r="AE27" s="10">
        <v>100</v>
      </c>
      <c r="AF27" s="10">
        <v>-2.8</v>
      </c>
      <c r="AG27" s="10">
        <v>100</v>
      </c>
      <c r="AH27" s="10">
        <f t="shared" si="11"/>
        <v>0</v>
      </c>
      <c r="AI27" s="19">
        <v>0.82666666666666699</v>
      </c>
      <c r="AJ27" s="10">
        <v>100</v>
      </c>
      <c r="AK27" s="10">
        <v>100.008333333333</v>
      </c>
      <c r="AL27" s="19">
        <f t="shared" si="8"/>
        <v>0.99991667361053582</v>
      </c>
      <c r="AM27" s="30">
        <v>26</v>
      </c>
    </row>
    <row r="28" spans="1:39" x14ac:dyDescent="0.25">
      <c r="A28">
        <v>2021</v>
      </c>
      <c r="B28" s="16">
        <v>573568.80000000005</v>
      </c>
      <c r="C28" s="16">
        <f t="shared" si="0"/>
        <v>4.5692862890055528</v>
      </c>
      <c r="D28" s="21">
        <f t="shared" si="9"/>
        <v>1.0402884309632325</v>
      </c>
      <c r="E28" s="16">
        <v>4</v>
      </c>
      <c r="F28" s="16">
        <v>301948.2</v>
      </c>
      <c r="G28" s="16">
        <f t="shared" si="1"/>
        <v>126185.9</v>
      </c>
      <c r="H28" s="16">
        <v>23930.9</v>
      </c>
      <c r="I28" s="16">
        <v>100800.9</v>
      </c>
      <c r="J28" s="16">
        <v>1454.1</v>
      </c>
      <c r="K28" s="16">
        <f t="shared" si="2"/>
        <v>148310.69999999998</v>
      </c>
      <c r="L28" s="16">
        <v>117768</v>
      </c>
      <c r="M28" s="16">
        <v>30578.400000000001</v>
      </c>
      <c r="N28" s="16">
        <v>-35.700000000000003</v>
      </c>
      <c r="O28" s="16">
        <f t="shared" si="3"/>
        <v>125301.30000000005</v>
      </c>
      <c r="P28" s="16">
        <v>448267.5</v>
      </c>
      <c r="Q28" s="16">
        <v>99.9</v>
      </c>
      <c r="R28" s="10">
        <f t="shared" si="10"/>
        <v>-9.9999999999988987E-2</v>
      </c>
      <c r="S28" s="10">
        <v>101</v>
      </c>
      <c r="T28" s="4">
        <f t="shared" si="4"/>
        <v>110735</v>
      </c>
      <c r="U28" s="4">
        <v>125527</v>
      </c>
      <c r="V28" s="4">
        <v>14792</v>
      </c>
      <c r="W28">
        <v>6907</v>
      </c>
      <c r="X28">
        <v>6713</v>
      </c>
      <c r="Y28">
        <v>195</v>
      </c>
      <c r="Z28" s="10">
        <f t="shared" si="5"/>
        <v>99.602780536246271</v>
      </c>
      <c r="AA28" s="10">
        <f t="shared" si="6"/>
        <v>100.3</v>
      </c>
      <c r="AB28" s="10">
        <v>100.3</v>
      </c>
      <c r="AC28" s="10">
        <v>0.3</v>
      </c>
      <c r="AD28" s="10">
        <f t="shared" si="7"/>
        <v>100.7</v>
      </c>
      <c r="AE28" s="10">
        <v>100.7</v>
      </c>
      <c r="AF28" s="10">
        <v>0.6</v>
      </c>
      <c r="AG28" s="10">
        <v>99.8</v>
      </c>
      <c r="AH28" s="10">
        <f t="shared" si="11"/>
        <v>-0.20000000000000018</v>
      </c>
      <c r="AI28" s="19">
        <v>0.80408333333333304</v>
      </c>
      <c r="AJ28" s="10">
        <v>105.783333333333</v>
      </c>
      <c r="AK28" s="10">
        <v>121.575</v>
      </c>
      <c r="AL28" s="19">
        <f t="shared" si="8"/>
        <v>0.87010761532661318</v>
      </c>
      <c r="AM28" s="30">
        <v>27</v>
      </c>
    </row>
    <row r="29" spans="1:39" x14ac:dyDescent="0.25">
      <c r="A29">
        <v>2022</v>
      </c>
      <c r="B29" s="16">
        <v>584900.6</v>
      </c>
      <c r="C29" s="16">
        <f t="shared" si="0"/>
        <v>4.680028485013362</v>
      </c>
      <c r="D29" s="21">
        <f t="shared" si="9"/>
        <v>1.0242362130546017</v>
      </c>
      <c r="E29" s="16">
        <v>2.6</v>
      </c>
      <c r="F29" s="16">
        <v>319026.8</v>
      </c>
      <c r="G29" s="16">
        <f t="shared" si="1"/>
        <v>136419.5</v>
      </c>
      <c r="H29" s="16">
        <v>25727.3</v>
      </c>
      <c r="I29" s="16">
        <v>107813.7</v>
      </c>
      <c r="J29" s="16">
        <v>2878.5</v>
      </c>
      <c r="K29" s="16">
        <f t="shared" si="2"/>
        <v>150305.5</v>
      </c>
      <c r="L29" s="16">
        <v>121135</v>
      </c>
      <c r="M29" s="16">
        <v>29264.1</v>
      </c>
      <c r="N29" s="16">
        <v>-93.6</v>
      </c>
      <c r="O29" s="16">
        <f t="shared" si="3"/>
        <v>122603.89999999997</v>
      </c>
      <c r="P29" s="16">
        <v>462296.7</v>
      </c>
      <c r="Q29" s="16">
        <v>100.6</v>
      </c>
      <c r="R29" s="10">
        <f t="shared" si="10"/>
        <v>0.70070070070069601</v>
      </c>
      <c r="S29" s="10">
        <v>104.3</v>
      </c>
      <c r="T29" s="4">
        <f t="shared" si="4"/>
        <v>110463</v>
      </c>
      <c r="U29" s="4">
        <v>124978</v>
      </c>
      <c r="V29" s="4">
        <v>14515</v>
      </c>
      <c r="W29">
        <v>6902</v>
      </c>
      <c r="X29">
        <v>6723</v>
      </c>
      <c r="Y29">
        <v>179</v>
      </c>
      <c r="Z29" s="10">
        <f t="shared" si="5"/>
        <v>101.48809523809523</v>
      </c>
      <c r="AA29" s="10">
        <f t="shared" si="6"/>
        <v>102.3</v>
      </c>
      <c r="AB29" s="10">
        <v>102.3</v>
      </c>
      <c r="AC29" s="10">
        <v>2</v>
      </c>
      <c r="AD29" s="10">
        <f t="shared" si="7"/>
        <v>100.8</v>
      </c>
      <c r="AE29" s="10">
        <v>100.8</v>
      </c>
      <c r="AF29" s="10">
        <v>0.1</v>
      </c>
      <c r="AG29" s="10">
        <v>102.3</v>
      </c>
      <c r="AH29" s="10">
        <f t="shared" si="11"/>
        <v>2.5050100200400882</v>
      </c>
      <c r="AI29" s="19">
        <v>0.78349999999999997</v>
      </c>
      <c r="AJ29" s="10">
        <v>110.741666666667</v>
      </c>
      <c r="AK29" s="10">
        <v>169.09166666666701</v>
      </c>
      <c r="AL29" s="19">
        <f t="shared" si="8"/>
        <v>0.65492090089202171</v>
      </c>
      <c r="AM29" s="30">
        <v>28</v>
      </c>
    </row>
    <row r="30" spans="1:39" x14ac:dyDescent="0.25">
      <c r="A30">
        <v>2023</v>
      </c>
      <c r="B30" s="16">
        <v>616033</v>
      </c>
      <c r="C30" s="16">
        <f t="shared" si="0"/>
        <v>4.9517153237733904</v>
      </c>
      <c r="D30" s="21">
        <f t="shared" si="9"/>
        <v>1.0580523899865222</v>
      </c>
      <c r="E30" s="16">
        <v>4.7</v>
      </c>
      <c r="F30" s="16">
        <v>330179.7</v>
      </c>
      <c r="G30" s="16">
        <f t="shared" si="1"/>
        <v>140353.29999999999</v>
      </c>
      <c r="H30" s="16">
        <v>26785.4</v>
      </c>
      <c r="I30" s="16">
        <v>113786.1</v>
      </c>
      <c r="J30" s="16">
        <v>-218.2</v>
      </c>
      <c r="K30" s="16">
        <f t="shared" si="2"/>
        <v>154595.4</v>
      </c>
      <c r="L30" s="16">
        <v>123789.5</v>
      </c>
      <c r="M30" s="16">
        <v>30979.5</v>
      </c>
      <c r="N30" s="16">
        <v>-173.6</v>
      </c>
      <c r="O30" s="16">
        <f t="shared" si="3"/>
        <v>133596.20000000001</v>
      </c>
      <c r="P30" s="16">
        <v>482436.8</v>
      </c>
      <c r="Q30" s="16">
        <v>105.1</v>
      </c>
      <c r="R30" s="10">
        <f t="shared" si="10"/>
        <v>4.4731610337972239</v>
      </c>
      <c r="S30" s="10">
        <v>107.9</v>
      </c>
      <c r="T30" s="4">
        <f t="shared" si="4"/>
        <v>110206</v>
      </c>
      <c r="U30" s="4">
        <v>124408</v>
      </c>
      <c r="V30" s="4">
        <v>14202</v>
      </c>
      <c r="W30">
        <v>6925</v>
      </c>
      <c r="X30">
        <v>6747</v>
      </c>
      <c r="Y30">
        <v>178</v>
      </c>
      <c r="Z30" s="10">
        <f t="shared" si="5"/>
        <v>102.57680872150642</v>
      </c>
      <c r="AA30" s="12">
        <f t="shared" si="6"/>
        <v>103.5</v>
      </c>
      <c r="AB30" s="12">
        <v>103.5</v>
      </c>
      <c r="AC30" s="12">
        <v>1.2</v>
      </c>
      <c r="AD30" s="28">
        <f t="shared" si="7"/>
        <v>100.9</v>
      </c>
      <c r="AE30" s="28">
        <v>100.9</v>
      </c>
      <c r="AF30" s="28">
        <v>0.1</v>
      </c>
      <c r="AG30" s="10">
        <v>105.6</v>
      </c>
      <c r="AH30" s="10">
        <f t="shared" si="11"/>
        <v>3.2258064516129004</v>
      </c>
      <c r="AI30" s="19">
        <v>0.77691666666666703</v>
      </c>
      <c r="AJ30" s="10">
        <v>110.508333333333</v>
      </c>
      <c r="AK30" s="10">
        <v>161.208333333333</v>
      </c>
      <c r="AL30" s="19">
        <f t="shared" si="8"/>
        <v>0.68550012923235915</v>
      </c>
      <c r="AM30" s="30">
        <v>29</v>
      </c>
    </row>
    <row r="31" spans="1:39" x14ac:dyDescent="0.25">
      <c r="A31">
        <v>2024</v>
      </c>
      <c r="B31" s="16">
        <v>634226</v>
      </c>
      <c r="C31" s="16">
        <f t="shared" si="0"/>
        <v>5.1211685669067535</v>
      </c>
      <c r="D31" s="21">
        <f t="shared" si="9"/>
        <v>1.0342211197642586</v>
      </c>
      <c r="E31" s="16">
        <v>3.7</v>
      </c>
      <c r="F31" s="16">
        <v>336580.9</v>
      </c>
      <c r="G31" s="16">
        <f t="shared" si="1"/>
        <v>144166.6</v>
      </c>
      <c r="H31" s="16">
        <v>27249</v>
      </c>
      <c r="I31" s="16">
        <v>117611.9</v>
      </c>
      <c r="J31" s="16">
        <v>-694.3</v>
      </c>
      <c r="K31" s="16">
        <f t="shared" si="2"/>
        <v>159143</v>
      </c>
      <c r="L31" s="16">
        <v>127761</v>
      </c>
      <c r="M31" s="16">
        <v>31540.400000000001</v>
      </c>
      <c r="N31" s="16">
        <v>-158.4</v>
      </c>
      <c r="O31" s="16">
        <f t="shared" si="3"/>
        <v>137572.09999999998</v>
      </c>
      <c r="P31" s="16">
        <v>496653.9</v>
      </c>
      <c r="Q31" s="16">
        <v>108.5</v>
      </c>
      <c r="R31" s="10">
        <f t="shared" si="10"/>
        <v>3.2350142721217834</v>
      </c>
      <c r="S31" s="10">
        <v>110.6</v>
      </c>
      <c r="T31" s="4">
        <f t="shared" si="4"/>
        <v>109929</v>
      </c>
      <c r="U31" s="4">
        <v>123844</v>
      </c>
      <c r="V31" s="4">
        <v>13915</v>
      </c>
      <c r="W31">
        <v>6957</v>
      </c>
      <c r="X31">
        <v>6781</v>
      </c>
      <c r="Y31">
        <v>176</v>
      </c>
      <c r="Z31" s="10">
        <f t="shared" si="5"/>
        <v>106.51410036940263</v>
      </c>
      <c r="AA31" s="10">
        <f>AA30*(1+AC31/100)</f>
        <v>106.398</v>
      </c>
      <c r="AB31" s="10">
        <v>109.2</v>
      </c>
      <c r="AC31" s="11">
        <v>2.8</v>
      </c>
      <c r="AD31" s="10">
        <f>AD30*(1+AF31/100)</f>
        <v>99.891000000000005</v>
      </c>
      <c r="AE31" s="10">
        <v>101.4</v>
      </c>
      <c r="AF31" s="11">
        <v>-1</v>
      </c>
      <c r="AG31" s="10">
        <v>108.5</v>
      </c>
      <c r="AH31" s="10">
        <f t="shared" si="11"/>
        <v>2.7462121212121327</v>
      </c>
      <c r="AI31" s="19">
        <v>0.84183333333333299</v>
      </c>
      <c r="AJ31" s="10">
        <v>112.6</v>
      </c>
      <c r="AK31" s="10">
        <v>165.541666666667</v>
      </c>
      <c r="AL31" s="19">
        <f t="shared" si="8"/>
        <v>0.68019129121570465</v>
      </c>
      <c r="AM31" s="30">
        <v>30</v>
      </c>
    </row>
    <row r="32" spans="1:39" x14ac:dyDescent="0.25">
      <c r="A32">
        <v>2025</v>
      </c>
      <c r="B32" s="20">
        <v>663757.30000000005</v>
      </c>
      <c r="C32" s="20">
        <f t="shared" si="0"/>
        <v>5.3849304733007743</v>
      </c>
      <c r="D32" s="22">
        <f t="shared" si="9"/>
        <v>1.051504242234568</v>
      </c>
      <c r="E32" s="16">
        <v>4.2</v>
      </c>
      <c r="F32" s="16">
        <v>351588</v>
      </c>
      <c r="G32" s="16">
        <f t="shared" si="1"/>
        <v>151590</v>
      </c>
      <c r="H32" s="16">
        <v>27449.599999999999</v>
      </c>
      <c r="I32" s="16">
        <v>123514.3</v>
      </c>
      <c r="J32" s="16">
        <v>626.1</v>
      </c>
      <c r="K32" s="16">
        <f t="shared" si="2"/>
        <v>164108.20000000001</v>
      </c>
      <c r="L32" s="16">
        <v>131654.5</v>
      </c>
      <c r="M32" s="16">
        <v>32524</v>
      </c>
      <c r="N32" s="16">
        <v>-70.3</v>
      </c>
      <c r="O32" s="16">
        <f t="shared" si="3"/>
        <v>151540.05198156688</v>
      </c>
      <c r="P32" s="17">
        <f>P31*(AG32/AG31)</f>
        <v>512217.24801843317</v>
      </c>
      <c r="Q32" s="16">
        <v>112.2</v>
      </c>
      <c r="R32" s="10">
        <f t="shared" si="10"/>
        <v>3.410138248847927</v>
      </c>
      <c r="S32" s="10">
        <v>113.9</v>
      </c>
      <c r="T32" s="4">
        <f t="shared" si="4"/>
        <v>109629</v>
      </c>
      <c r="U32" s="4">
        <v>123262</v>
      </c>
      <c r="V32" s="4">
        <v>13633</v>
      </c>
      <c r="W32">
        <v>7004</v>
      </c>
      <c r="X32">
        <v>6828</v>
      </c>
      <c r="Y32">
        <v>176</v>
      </c>
      <c r="Z32" s="10">
        <f t="shared" si="5"/>
        <v>110.5110797950293</v>
      </c>
      <c r="AA32" s="10">
        <f>AA31*(1+AC32/100)</f>
        <v>108.84515399999998</v>
      </c>
      <c r="AB32" s="10">
        <v>111.7</v>
      </c>
      <c r="AC32" s="11">
        <v>2.2999999999999998</v>
      </c>
      <c r="AD32" s="10">
        <f>AD31*(1+AF32/100)</f>
        <v>98.492525999999998</v>
      </c>
      <c r="AE32" s="10">
        <v>100</v>
      </c>
      <c r="AF32" s="11">
        <v>-1.4</v>
      </c>
      <c r="AG32" s="10">
        <v>111.9</v>
      </c>
      <c r="AH32" s="10">
        <f t="shared" si="11"/>
        <v>3.133640552995387</v>
      </c>
      <c r="AI32" s="19">
        <v>1.1034999999999999</v>
      </c>
      <c r="AJ32" s="10">
        <v>112.808333333333</v>
      </c>
      <c r="AK32" s="10">
        <v>158.42500000000001</v>
      </c>
      <c r="AL32" s="19">
        <f t="shared" si="8"/>
        <v>0.71206143811477352</v>
      </c>
      <c r="AM32" s="30">
        <v>31</v>
      </c>
    </row>
    <row r="33" spans="1:39" x14ac:dyDescent="0.25">
      <c r="A33">
        <v>2026</v>
      </c>
      <c r="B33" s="16">
        <f>B32*(1+E33/100)</f>
        <v>686325.04820000008</v>
      </c>
      <c r="C33" s="16">
        <f t="shared" si="0"/>
        <v>5.5952996323199722</v>
      </c>
      <c r="D33" s="21">
        <f t="shared" si="9"/>
        <v>1.0390662720832213</v>
      </c>
      <c r="E33" s="16">
        <v>3.4</v>
      </c>
      <c r="F33" s="17">
        <f>F32*(1+$E33/100)</f>
        <v>363541.99200000003</v>
      </c>
      <c r="G33" s="17">
        <f>G32*(1+$E33/100)</f>
        <v>156744.06</v>
      </c>
      <c r="Q33" s="17">
        <f>Q32*(1+R33/100)</f>
        <v>114.444</v>
      </c>
      <c r="R33" s="11">
        <v>2</v>
      </c>
      <c r="S33" s="11">
        <f>S32*(1+R33/100)</f>
        <v>116.17800000000001</v>
      </c>
      <c r="T33" s="4">
        <f t="shared" si="4"/>
        <v>109306</v>
      </c>
      <c r="U33" s="4">
        <v>122661</v>
      </c>
      <c r="V33" s="4">
        <v>13355</v>
      </c>
      <c r="AD33" s="10">
        <f>_xlfn.FORECAST.LINEAR(AM33,AD2:AD32,AM2:AM32)</f>
        <v>99.023738838709704</v>
      </c>
      <c r="AG33" s="11">
        <f>AG32*(1+AH33/100)</f>
        <v>114.0261</v>
      </c>
      <c r="AH33" s="11">
        <v>1.9</v>
      </c>
      <c r="AL33" s="27">
        <f>AL32</f>
        <v>0.71206143811477352</v>
      </c>
      <c r="AM33" s="30">
        <v>32</v>
      </c>
    </row>
    <row r="34" spans="1:39" x14ac:dyDescent="0.25">
      <c r="A34">
        <v>2027</v>
      </c>
      <c r="B34" s="16">
        <f t="shared" ref="B34:B42" si="12">B33*(1+E34/100)</f>
        <v>697306.24897120008</v>
      </c>
      <c r="C34" s="16">
        <f t="shared" si="0"/>
        <v>5.7135643617973848</v>
      </c>
      <c r="D34" s="21">
        <f t="shared" si="9"/>
        <v>1.021136442594474</v>
      </c>
      <c r="E34" s="16">
        <v>1.6</v>
      </c>
      <c r="F34" s="17">
        <f t="shared" ref="F34:F47" si="13">F33*(1+$E34/100)</f>
        <v>369358.663872</v>
      </c>
      <c r="G34" s="17">
        <f t="shared" ref="G34:G47" si="14">G33*(1+$E34/100)</f>
        <v>159251.96496000001</v>
      </c>
      <c r="Q34" s="17">
        <f t="shared" ref="Q34:Q47" si="15">Q33*(1+R34/100)</f>
        <v>115.702884</v>
      </c>
      <c r="R34" s="11">
        <v>1.1000000000000001</v>
      </c>
      <c r="S34" s="11">
        <f t="shared" ref="S34:S47" si="16">S33*(1+R34/100)</f>
        <v>117.455958</v>
      </c>
      <c r="T34" s="4">
        <f t="shared" si="4"/>
        <v>108944</v>
      </c>
      <c r="U34" s="4">
        <v>122044</v>
      </c>
      <c r="V34" s="4">
        <v>13100</v>
      </c>
      <c r="AD34" s="10">
        <f t="shared" ref="AD34:AD47" si="17">_xlfn.FORECAST.LINEAR(AM34,AD3:AD33,AM3:AM33)</f>
        <v>98.439811424349642</v>
      </c>
      <c r="AG34" s="11">
        <f t="shared" ref="AG34:AG47" si="18">AG33*(1+AH34/100)</f>
        <v>115.6224654</v>
      </c>
      <c r="AH34" s="11">
        <v>1.4</v>
      </c>
      <c r="AL34" s="27">
        <f t="shared" ref="AL34:AL47" si="19">AL33</f>
        <v>0.71206143811477352</v>
      </c>
      <c r="AM34" s="30">
        <v>33</v>
      </c>
    </row>
    <row r="35" spans="1:39" x14ac:dyDescent="0.25">
      <c r="A35">
        <v>2028</v>
      </c>
      <c r="B35" s="16">
        <f t="shared" si="12"/>
        <v>705673.92395885452</v>
      </c>
      <c r="C35" s="16">
        <f t="shared" si="0"/>
        <v>5.8121297705277355</v>
      </c>
      <c r="D35" s="21">
        <f t="shared" si="9"/>
        <v>1.0172511242525575</v>
      </c>
      <c r="E35" s="16">
        <v>1.2</v>
      </c>
      <c r="F35" s="17">
        <f t="shared" si="13"/>
        <v>373790.96783846401</v>
      </c>
      <c r="G35" s="17">
        <f t="shared" si="14"/>
        <v>161162.98853952001</v>
      </c>
      <c r="Q35" s="17">
        <f t="shared" si="15"/>
        <v>116.51280418799999</v>
      </c>
      <c r="R35" s="11">
        <v>0.7</v>
      </c>
      <c r="S35" s="11">
        <f t="shared" si="16"/>
        <v>118.27814970599998</v>
      </c>
      <c r="T35" s="4">
        <f t="shared" si="4"/>
        <v>108564</v>
      </c>
      <c r="U35" s="4">
        <v>121414</v>
      </c>
      <c r="V35" s="4">
        <v>12850</v>
      </c>
      <c r="AD35" s="10">
        <f t="shared" si="17"/>
        <v>97.908772480145018</v>
      </c>
      <c r="AG35" s="11">
        <f t="shared" si="18"/>
        <v>116.89431251939999</v>
      </c>
      <c r="AH35" s="11">
        <v>1.1000000000000001</v>
      </c>
      <c r="AL35" s="27">
        <f t="shared" si="19"/>
        <v>0.71206143811477352</v>
      </c>
      <c r="AM35" s="30">
        <v>34</v>
      </c>
    </row>
    <row r="36" spans="1:39" x14ac:dyDescent="0.25">
      <c r="A36">
        <v>2029</v>
      </c>
      <c r="B36" s="16">
        <f t="shared" si="12"/>
        <v>714142.01104636083</v>
      </c>
      <c r="C36" s="16">
        <f t="shared" si="0"/>
        <v>5.9131911721055621</v>
      </c>
      <c r="D36" s="21">
        <f t="shared" si="9"/>
        <v>1.0173880153348074</v>
      </c>
      <c r="E36" s="16">
        <v>1.2</v>
      </c>
      <c r="F36" s="17">
        <f t="shared" si="13"/>
        <v>378276.4594525256</v>
      </c>
      <c r="G36" s="17">
        <f t="shared" si="14"/>
        <v>163096.94440199426</v>
      </c>
      <c r="Q36" s="17">
        <f t="shared" si="15"/>
        <v>117.32839381731598</v>
      </c>
      <c r="R36" s="11">
        <v>0.7</v>
      </c>
      <c r="S36" s="11">
        <f t="shared" si="16"/>
        <v>119.10609675394197</v>
      </c>
      <c r="T36" s="4">
        <f t="shared" si="4"/>
        <v>108146</v>
      </c>
      <c r="U36" s="4">
        <v>120771</v>
      </c>
      <c r="V36" s="4">
        <v>12625</v>
      </c>
      <c r="AD36" s="10">
        <f t="shared" si="17"/>
        <v>97.321213598466571</v>
      </c>
      <c r="AG36" s="11">
        <f t="shared" si="18"/>
        <v>118.18014995711337</v>
      </c>
      <c r="AH36" s="11">
        <v>1.1000000000000001</v>
      </c>
      <c r="AL36" s="27">
        <f t="shared" si="19"/>
        <v>0.71206143811477352</v>
      </c>
      <c r="AM36" s="30">
        <v>35</v>
      </c>
    </row>
    <row r="37" spans="1:39" x14ac:dyDescent="0.25">
      <c r="A37">
        <v>2030</v>
      </c>
      <c r="B37" s="16">
        <f t="shared" si="12"/>
        <v>722711.71517891716</v>
      </c>
      <c r="C37" s="16">
        <f t="shared" si="0"/>
        <v>6.0167814044666583</v>
      </c>
      <c r="D37" s="21">
        <f t="shared" si="9"/>
        <v>1.0175184987845083</v>
      </c>
      <c r="E37" s="16">
        <v>1.2</v>
      </c>
      <c r="F37" s="17">
        <f t="shared" si="13"/>
        <v>382815.77696595591</v>
      </c>
      <c r="G37" s="17">
        <f t="shared" si="14"/>
        <v>165054.10773481819</v>
      </c>
      <c r="Q37" s="17">
        <f t="shared" si="15"/>
        <v>118.14969257403719</v>
      </c>
      <c r="R37" s="11">
        <v>0.7</v>
      </c>
      <c r="S37" s="11">
        <f t="shared" si="16"/>
        <v>119.93983943121955</v>
      </c>
      <c r="T37" s="4">
        <f t="shared" si="4"/>
        <v>107719</v>
      </c>
      <c r="U37" s="4">
        <v>120116</v>
      </c>
      <c r="V37" s="4">
        <v>12397</v>
      </c>
      <c r="AD37" s="10">
        <f t="shared" si="17"/>
        <v>96.68423568379643</v>
      </c>
      <c r="AG37" s="11">
        <f t="shared" si="18"/>
        <v>119.48013160664161</v>
      </c>
      <c r="AH37" s="11">
        <v>1.1000000000000001</v>
      </c>
      <c r="AL37" s="27">
        <f t="shared" si="19"/>
        <v>0.71206143811477352</v>
      </c>
      <c r="AM37" s="30">
        <v>36</v>
      </c>
    </row>
    <row r="38" spans="1:39" x14ac:dyDescent="0.25">
      <c r="A38">
        <v>2031</v>
      </c>
      <c r="B38" s="16">
        <f t="shared" si="12"/>
        <v>731384.25576106412</v>
      </c>
      <c r="C38" s="16">
        <f t="shared" si="0"/>
        <v>6.1230347578951854</v>
      </c>
      <c r="D38" s="21">
        <f t="shared" si="9"/>
        <v>1.0176595003683611</v>
      </c>
      <c r="E38" s="16">
        <v>1.2</v>
      </c>
      <c r="F38" s="17">
        <f t="shared" si="13"/>
        <v>387409.56628954737</v>
      </c>
      <c r="G38" s="17">
        <f t="shared" si="14"/>
        <v>167034.75702763602</v>
      </c>
      <c r="Q38" s="17">
        <f t="shared" si="15"/>
        <v>118.97674042205544</v>
      </c>
      <c r="R38" s="11">
        <v>0.7</v>
      </c>
      <c r="S38" s="11">
        <f t="shared" si="16"/>
        <v>120.77941830723807</v>
      </c>
      <c r="T38" s="4">
        <f t="shared" si="4"/>
        <v>107255</v>
      </c>
      <c r="U38" s="4">
        <v>119448</v>
      </c>
      <c r="V38" s="4">
        <v>12193</v>
      </c>
      <c r="AD38" s="10">
        <f t="shared" si="17"/>
        <v>95.98686569240455</v>
      </c>
      <c r="AG38" s="11">
        <f t="shared" si="18"/>
        <v>120.79441305431465</v>
      </c>
      <c r="AH38" s="11">
        <v>1.1000000000000001</v>
      </c>
      <c r="AL38" s="27">
        <f t="shared" si="19"/>
        <v>0.71206143811477352</v>
      </c>
      <c r="AM38" s="30">
        <v>37</v>
      </c>
    </row>
    <row r="39" spans="1:39" x14ac:dyDescent="0.25">
      <c r="A39">
        <v>2032</v>
      </c>
      <c r="B39" s="16">
        <f t="shared" si="12"/>
        <v>740160.86683019693</v>
      </c>
      <c r="C39" s="16">
        <f t="shared" si="0"/>
        <v>6.2320939227573291</v>
      </c>
      <c r="D39" s="21">
        <f t="shared" si="9"/>
        <v>1.0178112927942342</v>
      </c>
      <c r="E39" s="16">
        <v>1.2</v>
      </c>
      <c r="F39" s="17">
        <f t="shared" si="13"/>
        <v>392058.48108502192</v>
      </c>
      <c r="G39" s="17">
        <f t="shared" si="14"/>
        <v>169039.17411196764</v>
      </c>
      <c r="Q39" s="17">
        <f t="shared" si="15"/>
        <v>119.80957760500982</v>
      </c>
      <c r="R39" s="11">
        <v>0.7</v>
      </c>
      <c r="S39" s="11">
        <f t="shared" si="16"/>
        <v>121.62487423538873</v>
      </c>
      <c r="T39" s="4">
        <f t="shared" si="4"/>
        <v>106740</v>
      </c>
      <c r="U39" s="4">
        <v>118766</v>
      </c>
      <c r="V39" s="4">
        <v>12026</v>
      </c>
      <c r="AD39" s="10">
        <f t="shared" si="17"/>
        <v>95.366065794485991</v>
      </c>
      <c r="AG39" s="11">
        <f t="shared" si="18"/>
        <v>122.1231515979121</v>
      </c>
      <c r="AH39" s="11">
        <v>1.1000000000000001</v>
      </c>
      <c r="AL39" s="27">
        <f t="shared" si="19"/>
        <v>0.71206143811477352</v>
      </c>
      <c r="AM39" s="30">
        <v>38</v>
      </c>
    </row>
    <row r="40" spans="1:39" x14ac:dyDescent="0.25">
      <c r="A40">
        <v>2033</v>
      </c>
      <c r="B40" s="16">
        <f>B39*(1+E40/100)</f>
        <v>749042.7972321593</v>
      </c>
      <c r="C40" s="16">
        <f t="shared" si="0"/>
        <v>6.3440031610823935</v>
      </c>
      <c r="D40" s="21">
        <f t="shared" si="9"/>
        <v>1.0179569242235604</v>
      </c>
      <c r="E40" s="16">
        <v>1.2</v>
      </c>
      <c r="F40" s="17">
        <f t="shared" si="13"/>
        <v>396763.18285804219</v>
      </c>
      <c r="G40" s="17">
        <f t="shared" si="14"/>
        <v>171067.64420131125</v>
      </c>
      <c r="Q40" s="17">
        <f t="shared" si="15"/>
        <v>120.64824464824488</v>
      </c>
      <c r="R40" s="11">
        <v>0.7</v>
      </c>
      <c r="S40" s="11">
        <f t="shared" si="16"/>
        <v>122.47624835503643</v>
      </c>
      <c r="T40" s="4">
        <f t="shared" si="4"/>
        <v>106192</v>
      </c>
      <c r="U40" s="4">
        <v>118071</v>
      </c>
      <c r="V40" s="4">
        <v>11879</v>
      </c>
      <c r="AD40" s="10">
        <f t="shared" si="17"/>
        <v>94.699440969788242</v>
      </c>
      <c r="AG40" s="11">
        <f t="shared" si="18"/>
        <v>123.46650626548912</v>
      </c>
      <c r="AH40" s="11">
        <v>1.1000000000000001</v>
      </c>
      <c r="AL40" s="27">
        <f t="shared" si="19"/>
        <v>0.71206143811477352</v>
      </c>
      <c r="AM40" s="30">
        <v>39</v>
      </c>
    </row>
    <row r="41" spans="1:39" x14ac:dyDescent="0.25">
      <c r="A41">
        <v>2034</v>
      </c>
      <c r="B41" s="16">
        <f t="shared" si="12"/>
        <v>757282.26800171298</v>
      </c>
      <c r="C41" s="16">
        <f t="shared" si="0"/>
        <v>6.4525337673328078</v>
      </c>
      <c r="D41" s="21">
        <f t="shared" si="9"/>
        <v>1.0171075901910329</v>
      </c>
      <c r="E41" s="16">
        <v>1.1000000000000001</v>
      </c>
      <c r="F41" s="17">
        <f t="shared" si="13"/>
        <v>401127.57786948059</v>
      </c>
      <c r="G41" s="17">
        <f t="shared" si="14"/>
        <v>172949.38828752565</v>
      </c>
      <c r="Q41" s="17">
        <f t="shared" si="15"/>
        <v>121.49278236078258</v>
      </c>
      <c r="R41" s="11">
        <v>0.7</v>
      </c>
      <c r="S41" s="11">
        <f t="shared" si="16"/>
        <v>123.33358209352167</v>
      </c>
      <c r="T41" s="4">
        <f t="shared" si="4"/>
        <v>105591</v>
      </c>
      <c r="U41" s="4">
        <v>117362</v>
      </c>
      <c r="V41" s="4">
        <v>11771</v>
      </c>
      <c r="AD41" s="10">
        <f t="shared" si="17"/>
        <v>93.984438323874741</v>
      </c>
      <c r="AG41" s="11">
        <f t="shared" si="18"/>
        <v>124.82463783440949</v>
      </c>
      <c r="AH41" s="11">
        <v>1.1000000000000001</v>
      </c>
      <c r="AL41" s="27">
        <f t="shared" si="19"/>
        <v>0.71206143811477352</v>
      </c>
      <c r="AM41" s="30">
        <v>40</v>
      </c>
    </row>
    <row r="42" spans="1:39" x14ac:dyDescent="0.25">
      <c r="A42">
        <v>2035</v>
      </c>
      <c r="B42" s="20">
        <f t="shared" si="12"/>
        <v>765612.37294973177</v>
      </c>
      <c r="C42" s="20">
        <f t="shared" si="0"/>
        <v>6.5639483616091683</v>
      </c>
      <c r="D42" s="22">
        <f t="shared" si="9"/>
        <v>1.0172667975548486</v>
      </c>
      <c r="E42" s="20">
        <v>1.1000000000000001</v>
      </c>
      <c r="F42" s="17">
        <f t="shared" si="13"/>
        <v>405539.98122604482</v>
      </c>
      <c r="G42" s="17">
        <f t="shared" si="14"/>
        <v>174851.83155868843</v>
      </c>
      <c r="Q42" s="17">
        <f t="shared" si="15"/>
        <v>122.34323183730805</v>
      </c>
      <c r="R42" s="24">
        <v>0.7</v>
      </c>
      <c r="S42" s="11">
        <f t="shared" si="16"/>
        <v>124.19691716817631</v>
      </c>
      <c r="T42" s="4">
        <f t="shared" si="4"/>
        <v>104948</v>
      </c>
      <c r="U42" s="4">
        <v>116639</v>
      </c>
      <c r="V42" s="4">
        <v>11691</v>
      </c>
      <c r="AD42" s="10">
        <f t="shared" si="17"/>
        <v>93.290084104489878</v>
      </c>
      <c r="AG42" s="11">
        <f t="shared" si="18"/>
        <v>126.19770885058797</v>
      </c>
      <c r="AH42" s="24">
        <v>1.1000000000000001</v>
      </c>
      <c r="AL42" s="27">
        <f t="shared" si="19"/>
        <v>0.71206143811477352</v>
      </c>
      <c r="AM42" s="30">
        <v>41</v>
      </c>
    </row>
    <row r="43" spans="1:39" x14ac:dyDescent="0.25">
      <c r="A43">
        <v>2036</v>
      </c>
      <c r="B43" s="16">
        <f>B42*D43*(U43/U42)</f>
        <v>773910.88647957356</v>
      </c>
      <c r="D43" s="23">
        <f>D42</f>
        <v>1.0172667975548486</v>
      </c>
      <c r="E43" s="17">
        <f>B43/B42*100-100</f>
        <v>1.0839053577294635</v>
      </c>
      <c r="F43" s="17">
        <f t="shared" si="13"/>
        <v>409935.65081028896</v>
      </c>
      <c r="G43" s="17">
        <f t="shared" si="14"/>
        <v>176747.05992904116</v>
      </c>
      <c r="Q43" s="17">
        <f t="shared" si="15"/>
        <v>123.19963446016919</v>
      </c>
      <c r="R43" s="11">
        <f>R42</f>
        <v>0.7</v>
      </c>
      <c r="S43" s="11">
        <f t="shared" si="16"/>
        <v>125.06629558835354</v>
      </c>
      <c r="T43" s="4">
        <f t="shared" si="4"/>
        <v>104297</v>
      </c>
      <c r="U43" s="4">
        <v>115902</v>
      </c>
      <c r="V43" s="4">
        <v>11605</v>
      </c>
      <c r="AD43" s="10">
        <f t="shared" si="17"/>
        <v>92.637849093417458</v>
      </c>
      <c r="AG43" s="11">
        <f t="shared" si="18"/>
        <v>127.58588364794443</v>
      </c>
      <c r="AH43" s="11">
        <f>AH42</f>
        <v>1.1000000000000001</v>
      </c>
      <c r="AL43" s="27">
        <f t="shared" si="19"/>
        <v>0.71206143811477352</v>
      </c>
      <c r="AM43" s="30">
        <v>42</v>
      </c>
    </row>
    <row r="44" spans="1:39" x14ac:dyDescent="0.25">
      <c r="A44">
        <v>2037</v>
      </c>
      <c r="B44" s="16">
        <f>B43*D44*(U44/U43)</f>
        <v>782179.41251643701</v>
      </c>
      <c r="D44" s="23">
        <f t="shared" ref="D44:D47" si="20">D43</f>
        <v>1.0172667975548486</v>
      </c>
      <c r="E44" s="17">
        <f t="shared" ref="E44:E47" si="21">B44/B43*100-100</f>
        <v>1.0684080275024996</v>
      </c>
      <c r="F44" s="17">
        <f t="shared" si="13"/>
        <v>414315.43621114071</v>
      </c>
      <c r="G44" s="17">
        <f t="shared" si="14"/>
        <v>178635.4397056977</v>
      </c>
      <c r="Q44" s="17">
        <f t="shared" si="15"/>
        <v>124.06203190139037</v>
      </c>
      <c r="R44" s="11">
        <f t="shared" ref="R44:R47" si="22">R43</f>
        <v>0.7</v>
      </c>
      <c r="S44" s="11">
        <f t="shared" si="16"/>
        <v>125.94175965747201</v>
      </c>
      <c r="T44" s="4">
        <f t="shared" si="4"/>
        <v>103601</v>
      </c>
      <c r="U44" s="4">
        <v>115152</v>
      </c>
      <c r="V44" s="4">
        <v>11551</v>
      </c>
      <c r="AD44" s="10">
        <f t="shared" si="17"/>
        <v>91.975067086693841</v>
      </c>
      <c r="AG44" s="11">
        <f t="shared" si="18"/>
        <v>128.9893283680718</v>
      </c>
      <c r="AH44" s="11">
        <f t="shared" ref="AH44:AH47" si="23">AH43</f>
        <v>1.1000000000000001</v>
      </c>
      <c r="AL44" s="27">
        <f t="shared" si="19"/>
        <v>0.71206143811477352</v>
      </c>
      <c r="AM44" s="30">
        <v>43</v>
      </c>
    </row>
    <row r="45" spans="1:39" x14ac:dyDescent="0.25">
      <c r="A45">
        <v>2038</v>
      </c>
      <c r="B45" s="16">
        <f>B44*D45*(U45/U44)</f>
        <v>790426.73636312608</v>
      </c>
      <c r="D45" s="23">
        <f t="shared" si="20"/>
        <v>1.0172667975548486</v>
      </c>
      <c r="E45" s="17">
        <f t="shared" si="21"/>
        <v>1.0544030838341314</v>
      </c>
      <c r="F45" s="17">
        <f t="shared" si="13"/>
        <v>418683.99094735179</v>
      </c>
      <c r="G45" s="17">
        <f t="shared" si="14"/>
        <v>180518.97729077525</v>
      </c>
      <c r="Q45" s="17">
        <f t="shared" si="15"/>
        <v>124.93046612470009</v>
      </c>
      <c r="R45" s="11">
        <f t="shared" si="22"/>
        <v>0.7</v>
      </c>
      <c r="S45" s="11">
        <f t="shared" si="16"/>
        <v>126.8233519750743</v>
      </c>
      <c r="T45" s="4">
        <f t="shared" si="4"/>
        <v>102871</v>
      </c>
      <c r="U45" s="4">
        <v>114391</v>
      </c>
      <c r="V45" s="4">
        <v>11520</v>
      </c>
      <c r="AD45" s="10">
        <f t="shared" si="17"/>
        <v>91.385230310758033</v>
      </c>
      <c r="AG45" s="11">
        <f t="shared" si="18"/>
        <v>130.40821098012057</v>
      </c>
      <c r="AH45" s="11">
        <f t="shared" si="23"/>
        <v>1.1000000000000001</v>
      </c>
      <c r="AL45" s="27">
        <f t="shared" si="19"/>
        <v>0.71206143811477352</v>
      </c>
      <c r="AM45" s="30">
        <v>44</v>
      </c>
    </row>
    <row r="46" spans="1:39" x14ac:dyDescent="0.25">
      <c r="A46">
        <v>2039</v>
      </c>
      <c r="B46" s="16">
        <f>B45*D46*(U46/U45)</f>
        <v>798648.3482101839</v>
      </c>
      <c r="D46" s="23">
        <f t="shared" si="20"/>
        <v>1.0172667975548486</v>
      </c>
      <c r="E46" s="17">
        <f t="shared" si="21"/>
        <v>1.0401485006550644</v>
      </c>
      <c r="F46" s="17">
        <f t="shared" si="13"/>
        <v>423038.92620167346</v>
      </c>
      <c r="G46" s="17">
        <f t="shared" si="14"/>
        <v>182396.64272646309</v>
      </c>
      <c r="Q46" s="17">
        <f t="shared" si="15"/>
        <v>125.80497938757297</v>
      </c>
      <c r="R46" s="11">
        <f t="shared" si="22"/>
        <v>0.7</v>
      </c>
      <c r="S46" s="11">
        <f t="shared" si="16"/>
        <v>127.71111543889981</v>
      </c>
      <c r="T46" s="4">
        <f t="shared" si="4"/>
        <v>102145</v>
      </c>
      <c r="U46" s="4">
        <v>113619</v>
      </c>
      <c r="V46" s="4">
        <v>11474</v>
      </c>
      <c r="AD46" s="10">
        <f t="shared" si="17"/>
        <v>90.792994808335706</v>
      </c>
      <c r="AG46" s="11">
        <f t="shared" si="18"/>
        <v>131.84270130090189</v>
      </c>
      <c r="AH46" s="11">
        <f t="shared" si="23"/>
        <v>1.1000000000000001</v>
      </c>
      <c r="AL46" s="27">
        <f t="shared" si="19"/>
        <v>0.71206143811477352</v>
      </c>
      <c r="AM46" s="30">
        <v>45</v>
      </c>
    </row>
    <row r="47" spans="1:39" x14ac:dyDescent="0.25">
      <c r="A47">
        <v>2040</v>
      </c>
      <c r="B47" s="16">
        <f>B46*D47*(U47/U46)</f>
        <v>806846.71671906847</v>
      </c>
      <c r="D47" s="23">
        <f t="shared" si="20"/>
        <v>1.0172667975548486</v>
      </c>
      <c r="E47" s="17">
        <f t="shared" si="21"/>
        <v>1.0265304532661474</v>
      </c>
      <c r="F47" s="17">
        <f t="shared" si="13"/>
        <v>427381.54960830376</v>
      </c>
      <c r="G47" s="17">
        <f t="shared" si="14"/>
        <v>184268.99980978528</v>
      </c>
      <c r="Q47" s="17">
        <f t="shared" si="15"/>
        <v>126.68561424328597</v>
      </c>
      <c r="R47" s="11">
        <f t="shared" si="22"/>
        <v>0.7</v>
      </c>
      <c r="S47" s="11">
        <f t="shared" si="16"/>
        <v>128.6050932469721</v>
      </c>
      <c r="T47" s="4">
        <f t="shared" si="4"/>
        <v>101418</v>
      </c>
      <c r="U47" s="4">
        <v>112837</v>
      </c>
      <c r="V47" s="4">
        <v>11419</v>
      </c>
      <c r="AD47" s="10">
        <f t="shared" si="17"/>
        <v>90.168308077789462</v>
      </c>
      <c r="AG47" s="11">
        <f t="shared" si="18"/>
        <v>133.2929710152118</v>
      </c>
      <c r="AH47" s="11">
        <f t="shared" si="23"/>
        <v>1.1000000000000001</v>
      </c>
      <c r="AL47" s="27">
        <f t="shared" si="19"/>
        <v>0.71206143811477352</v>
      </c>
      <c r="AM47" s="30">
        <v>46</v>
      </c>
    </row>
    <row r="48" spans="1:39" x14ac:dyDescent="0.25">
      <c r="A48">
        <v>2041</v>
      </c>
      <c r="T48" s="4">
        <f t="shared" si="4"/>
        <v>100685</v>
      </c>
      <c r="U48" s="4">
        <v>112045</v>
      </c>
      <c r="V48" s="4">
        <v>11360</v>
      </c>
    </row>
    <row r="49" spans="1:22" x14ac:dyDescent="0.25">
      <c r="A49">
        <v>2042</v>
      </c>
      <c r="T49" s="4">
        <f t="shared" si="4"/>
        <v>99951</v>
      </c>
      <c r="U49" s="4">
        <v>111243</v>
      </c>
      <c r="V49" s="4">
        <v>11292</v>
      </c>
    </row>
    <row r="50" spans="1:22" x14ac:dyDescent="0.25">
      <c r="A50">
        <v>2043</v>
      </c>
      <c r="T50" s="4">
        <f t="shared" si="4"/>
        <v>99220</v>
      </c>
      <c r="U50" s="4">
        <v>110434</v>
      </c>
      <c r="V50" s="4">
        <v>11214</v>
      </c>
    </row>
    <row r="51" spans="1:22" x14ac:dyDescent="0.25">
      <c r="A51">
        <v>2044</v>
      </c>
      <c r="T51" s="4">
        <f t="shared" si="4"/>
        <v>98494</v>
      </c>
      <c r="U51" s="4">
        <v>109620</v>
      </c>
      <c r="V51" s="4">
        <v>11126</v>
      </c>
    </row>
    <row r="52" spans="1:22" x14ac:dyDescent="0.25">
      <c r="A52">
        <v>2045</v>
      </c>
      <c r="T52" s="4">
        <f t="shared" si="4"/>
        <v>97774</v>
      </c>
      <c r="U52" s="4">
        <v>108801</v>
      </c>
      <c r="V52" s="4">
        <v>11027</v>
      </c>
    </row>
    <row r="53" spans="1:22" x14ac:dyDescent="0.25">
      <c r="A53">
        <v>2046</v>
      </c>
      <c r="T53" s="4">
        <f t="shared" si="4"/>
        <v>97062</v>
      </c>
      <c r="U53" s="4">
        <v>107981</v>
      </c>
      <c r="V53" s="4">
        <v>10919</v>
      </c>
    </row>
    <row r="54" spans="1:22" x14ac:dyDescent="0.25">
      <c r="A54">
        <v>2047</v>
      </c>
      <c r="T54" s="4">
        <f t="shared" si="4"/>
        <v>96358</v>
      </c>
      <c r="U54" s="4">
        <v>107159</v>
      </c>
      <c r="V54" s="4">
        <v>10801</v>
      </c>
    </row>
    <row r="55" spans="1:22" x14ac:dyDescent="0.25">
      <c r="A55">
        <v>2048</v>
      </c>
      <c r="T55" s="4">
        <f t="shared" si="4"/>
        <v>95660</v>
      </c>
      <c r="U55" s="4">
        <v>106336</v>
      </c>
      <c r="V55" s="4">
        <v>10676</v>
      </c>
    </row>
    <row r="56" spans="1:22" x14ac:dyDescent="0.25">
      <c r="A56">
        <v>2049</v>
      </c>
      <c r="T56" s="4">
        <f t="shared" si="4"/>
        <v>94968</v>
      </c>
      <c r="U56" s="4">
        <v>105512</v>
      </c>
      <c r="V56" s="4">
        <v>10544</v>
      </c>
    </row>
    <row r="57" spans="1:22" x14ac:dyDescent="0.25">
      <c r="A57">
        <v>2050</v>
      </c>
      <c r="T57" s="4">
        <f t="shared" si="4"/>
        <v>94280</v>
      </c>
      <c r="U57" s="4">
        <v>104686</v>
      </c>
      <c r="V57" s="4">
        <v>10406</v>
      </c>
    </row>
    <row r="58" spans="1:22" x14ac:dyDescent="0.25">
      <c r="A58">
        <v>2051</v>
      </c>
      <c r="T58" s="4">
        <f t="shared" si="4"/>
        <v>93596</v>
      </c>
      <c r="U58" s="4">
        <v>103859</v>
      </c>
      <c r="V58" s="4">
        <v>10263</v>
      </c>
    </row>
    <row r="59" spans="1:22" x14ac:dyDescent="0.25">
      <c r="A59">
        <v>2052</v>
      </c>
      <c r="T59" s="4">
        <f t="shared" si="4"/>
        <v>92914</v>
      </c>
      <c r="U59" s="4">
        <v>103029</v>
      </c>
      <c r="V59" s="4">
        <v>10115</v>
      </c>
    </row>
    <row r="60" spans="1:22" x14ac:dyDescent="0.25">
      <c r="A60">
        <v>2053</v>
      </c>
      <c r="T60" s="4">
        <f t="shared" si="4"/>
        <v>92230</v>
      </c>
      <c r="U60" s="4">
        <v>102195</v>
      </c>
      <c r="V60" s="4">
        <v>9965</v>
      </c>
    </row>
    <row r="61" spans="1:22" x14ac:dyDescent="0.25">
      <c r="A61">
        <v>2054</v>
      </c>
      <c r="T61" s="4">
        <f t="shared" si="4"/>
        <v>91542</v>
      </c>
      <c r="U61" s="4">
        <v>101355</v>
      </c>
      <c r="V61" s="4">
        <v>9813</v>
      </c>
    </row>
    <row r="62" spans="1:22" x14ac:dyDescent="0.25">
      <c r="A62">
        <v>2055</v>
      </c>
      <c r="T62" s="4">
        <f t="shared" si="4"/>
        <v>90849</v>
      </c>
      <c r="U62" s="4">
        <v>100508</v>
      </c>
      <c r="V62" s="4">
        <v>9659</v>
      </c>
    </row>
    <row r="63" spans="1:22" x14ac:dyDescent="0.25">
      <c r="A63">
        <v>2056</v>
      </c>
      <c r="T63" s="4">
        <f t="shared" si="4"/>
        <v>90147</v>
      </c>
      <c r="U63" s="4">
        <v>99654</v>
      </c>
      <c r="V63" s="4">
        <v>9507</v>
      </c>
    </row>
    <row r="64" spans="1:22" x14ac:dyDescent="0.25">
      <c r="A64">
        <v>2057</v>
      </c>
      <c r="T64" s="4">
        <f t="shared" si="4"/>
        <v>89435</v>
      </c>
      <c r="U64" s="4">
        <v>98792</v>
      </c>
      <c r="V64" s="4">
        <v>9357</v>
      </c>
    </row>
    <row r="65" spans="1:22" x14ac:dyDescent="0.25">
      <c r="A65">
        <v>2058</v>
      </c>
      <c r="T65" s="4">
        <f t="shared" si="4"/>
        <v>88711</v>
      </c>
      <c r="U65" s="4">
        <v>97920</v>
      </c>
      <c r="V65" s="4">
        <v>9209</v>
      </c>
    </row>
    <row r="66" spans="1:22" x14ac:dyDescent="0.25">
      <c r="A66">
        <v>2059</v>
      </c>
      <c r="T66" s="4">
        <f t="shared" si="4"/>
        <v>87971</v>
      </c>
      <c r="U66" s="4">
        <v>97038</v>
      </c>
      <c r="V66" s="4">
        <v>9067</v>
      </c>
    </row>
    <row r="67" spans="1:22" x14ac:dyDescent="0.25">
      <c r="A67">
        <v>2060</v>
      </c>
      <c r="T67" s="4">
        <f t="shared" ref="T67:T77" si="24">U67-V67</f>
        <v>87218</v>
      </c>
      <c r="U67" s="4">
        <v>96148</v>
      </c>
      <c r="V67" s="4">
        <v>8930</v>
      </c>
    </row>
    <row r="68" spans="1:22" x14ac:dyDescent="0.25">
      <c r="A68">
        <v>2061</v>
      </c>
      <c r="T68" s="4">
        <f t="shared" si="24"/>
        <v>86449</v>
      </c>
      <c r="U68" s="4">
        <v>95249</v>
      </c>
      <c r="V68" s="4">
        <v>8800</v>
      </c>
    </row>
    <row r="69" spans="1:22" x14ac:dyDescent="0.25">
      <c r="A69">
        <v>2062</v>
      </c>
      <c r="T69" s="4">
        <f t="shared" si="24"/>
        <v>85665</v>
      </c>
      <c r="U69" s="4">
        <v>94342</v>
      </c>
      <c r="V69" s="4">
        <v>8677</v>
      </c>
    </row>
    <row r="70" spans="1:22" x14ac:dyDescent="0.25">
      <c r="A70">
        <v>2063</v>
      </c>
      <c r="T70" s="4">
        <f t="shared" si="24"/>
        <v>84865</v>
      </c>
      <c r="U70" s="4">
        <v>93428</v>
      </c>
      <c r="V70" s="4">
        <v>8563</v>
      </c>
    </row>
    <row r="71" spans="1:22" x14ac:dyDescent="0.25">
      <c r="A71">
        <v>2064</v>
      </c>
      <c r="T71" s="4">
        <f t="shared" si="24"/>
        <v>84052</v>
      </c>
      <c r="U71" s="4">
        <v>92509</v>
      </c>
      <c r="V71" s="4">
        <v>8457</v>
      </c>
    </row>
    <row r="72" spans="1:22" x14ac:dyDescent="0.25">
      <c r="A72">
        <v>2065</v>
      </c>
      <c r="T72" s="4">
        <f t="shared" si="24"/>
        <v>83227</v>
      </c>
      <c r="U72" s="4">
        <v>91587</v>
      </c>
      <c r="V72" s="4">
        <v>8360</v>
      </c>
    </row>
    <row r="73" spans="1:22" x14ac:dyDescent="0.25">
      <c r="A73">
        <v>2066</v>
      </c>
      <c r="T73" s="4">
        <f t="shared" si="24"/>
        <v>82393</v>
      </c>
      <c r="U73" s="4">
        <v>90663</v>
      </c>
      <c r="V73" s="4">
        <v>8270</v>
      </c>
    </row>
    <row r="74" spans="1:22" x14ac:dyDescent="0.25">
      <c r="A74">
        <v>2067</v>
      </c>
      <c r="T74" s="4">
        <f t="shared" si="24"/>
        <v>81551</v>
      </c>
      <c r="U74" s="4">
        <v>89739</v>
      </c>
      <c r="V74" s="4">
        <v>8188</v>
      </c>
    </row>
    <row r="75" spans="1:22" x14ac:dyDescent="0.25">
      <c r="A75">
        <v>2068</v>
      </c>
      <c r="T75" s="4">
        <f t="shared" si="24"/>
        <v>80706</v>
      </c>
      <c r="U75" s="4">
        <v>88819</v>
      </c>
      <c r="V75" s="4">
        <v>8113</v>
      </c>
    </row>
    <row r="76" spans="1:22" x14ac:dyDescent="0.25">
      <c r="A76">
        <v>2069</v>
      </c>
      <c r="T76" s="4">
        <f t="shared" si="24"/>
        <v>79862</v>
      </c>
      <c r="U76" s="4">
        <v>87904</v>
      </c>
      <c r="V76" s="4">
        <v>8042</v>
      </c>
    </row>
    <row r="77" spans="1:22" x14ac:dyDescent="0.25">
      <c r="A77">
        <v>2070</v>
      </c>
      <c r="T77" s="4">
        <f t="shared" si="24"/>
        <v>79021</v>
      </c>
      <c r="U77" s="4">
        <v>86996</v>
      </c>
      <c r="V77" s="4">
        <v>7975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EB49-0FA7-499A-8CF0-822650FFDEF8}">
  <dimension ref="A1:AH1"/>
  <sheetViews>
    <sheetView workbookViewId="0">
      <selection sqref="A1:J1"/>
    </sheetView>
  </sheetViews>
  <sheetFormatPr defaultRowHeight="12.6" x14ac:dyDescent="0.25"/>
  <sheetData>
    <row r="1" spans="1:34" ht="13.2" x14ac:dyDescent="0.25">
      <c r="A1" s="25">
        <v>1.9</v>
      </c>
      <c r="B1" s="25">
        <v>1.4</v>
      </c>
      <c r="C1" s="25">
        <v>1.1000000000000001</v>
      </c>
      <c r="D1" s="25">
        <v>1.1000000000000001</v>
      </c>
      <c r="E1" s="25">
        <v>1.1000000000000001</v>
      </c>
      <c r="F1" s="25">
        <v>1.1000000000000001</v>
      </c>
      <c r="G1" s="25">
        <v>1.1000000000000001</v>
      </c>
      <c r="H1" s="25">
        <v>1.1000000000000001</v>
      </c>
      <c r="I1" s="25">
        <v>1.1000000000000001</v>
      </c>
      <c r="J1" s="26">
        <v>1.1000000000000001</v>
      </c>
      <c r="K1" s="25">
        <v>-0.3</v>
      </c>
      <c r="L1" s="25">
        <v>0.9</v>
      </c>
      <c r="M1" s="25">
        <v>2.9</v>
      </c>
      <c r="N1" s="25">
        <v>0.2</v>
      </c>
      <c r="O1" s="25">
        <v>-0.1</v>
      </c>
      <c r="P1" s="25">
        <v>0.7</v>
      </c>
      <c r="Q1" s="25">
        <v>0.7</v>
      </c>
      <c r="R1" s="25">
        <v>0.5</v>
      </c>
      <c r="S1" s="25">
        <v>-0.2</v>
      </c>
      <c r="T1" s="25">
        <v>0.1</v>
      </c>
      <c r="U1" s="25">
        <v>3.2</v>
      </c>
      <c r="V1" s="25">
        <v>3</v>
      </c>
      <c r="W1" s="25">
        <v>3</v>
      </c>
      <c r="X1" s="25">
        <v>2.6</v>
      </c>
      <c r="Y1" s="25">
        <v>1.9</v>
      </c>
      <c r="Z1" s="25">
        <v>1.4</v>
      </c>
      <c r="AA1" s="25">
        <v>1.1000000000000001</v>
      </c>
      <c r="AB1" s="25">
        <v>1.1000000000000001</v>
      </c>
      <c r="AC1" s="25">
        <v>1.1000000000000001</v>
      </c>
      <c r="AD1" s="25">
        <v>1.1000000000000001</v>
      </c>
      <c r="AE1" s="25">
        <v>1.1000000000000001</v>
      </c>
      <c r="AF1" s="25">
        <v>1.1000000000000001</v>
      </c>
      <c r="AG1" s="25">
        <v>1.1000000000000001</v>
      </c>
      <c r="AH1" s="26">
        <v>1.1000000000000001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data_LabourForce</vt:lpstr>
      <vt:lpstr>集計加工用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2026-05-23T04:09:50Z</dcterms:created>
  <dcterms:modified xsi:type="dcterms:W3CDTF">2026-06-06T00:16:32Z</dcterms:modified>
</cp:coreProperties>
</file>
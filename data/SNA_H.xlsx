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mhlwlan-my.sharepoint.com/personal/wmijg_lansys_mhlw_go_jp/Documents/Downloads/"/>
    </mc:Choice>
  </mc:AlternateContent>
  <xr:revisionPtr revIDLastSave="29" documentId="13_ncr:1_{52C7872C-54D8-42A6-A723-A73B5244C575}" xr6:coauthVersionLast="47" xr6:coauthVersionMax="47" xr10:uidLastSave="{F5F991C2-0589-47D3-B6E4-3FCB4C78BB1E}"/>
  <bookViews>
    <workbookView xWindow="28680" yWindow="-120" windowWidth="29040" windowHeight="15720" xr2:uid="{79DD68C6-282D-4AB7-900F-3DC911F049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K5" i="1" l="1"/>
  <c r="AK6" i="1"/>
  <c r="AK7" i="1"/>
  <c r="AK8" i="1"/>
  <c r="AK9" i="1"/>
  <c r="AK10" i="1"/>
  <c r="AK11" i="1"/>
  <c r="AK12" i="1"/>
  <c r="AK13" i="1"/>
  <c r="AK14" i="1"/>
  <c r="AK15" i="1"/>
  <c r="AK16" i="1"/>
  <c r="AK17" i="1"/>
  <c r="AK18" i="1"/>
  <c r="AK19" i="1"/>
  <c r="AK20" i="1"/>
  <c r="AK21" i="1"/>
  <c r="AK22" i="1"/>
  <c r="AK23" i="1"/>
  <c r="AK24" i="1"/>
  <c r="AK25" i="1"/>
  <c r="AK26" i="1"/>
  <c r="AK27" i="1"/>
  <c r="AK28" i="1"/>
  <c r="AK29" i="1"/>
  <c r="AK30" i="1"/>
  <c r="AK32" i="1"/>
  <c r="AK33" i="1"/>
  <c r="AK34" i="1"/>
  <c r="AK35" i="1"/>
  <c r="AK31" i="1"/>
  <c r="AJ6" i="1"/>
  <c r="AJ7" i="1"/>
  <c r="AJ8" i="1"/>
  <c r="AJ9" i="1"/>
  <c r="AJ10" i="1"/>
  <c r="AJ11" i="1"/>
  <c r="AJ12" i="1"/>
  <c r="AJ13" i="1"/>
  <c r="AJ14" i="1"/>
  <c r="AJ15" i="1"/>
  <c r="AJ16" i="1"/>
  <c r="AJ17" i="1"/>
  <c r="AJ18" i="1"/>
  <c r="AJ19" i="1"/>
  <c r="AJ20" i="1"/>
  <c r="AJ21" i="1"/>
  <c r="AJ22" i="1"/>
  <c r="AJ23" i="1"/>
  <c r="AJ24" i="1"/>
  <c r="AJ25" i="1"/>
  <c r="AJ26" i="1"/>
  <c r="AJ27" i="1"/>
  <c r="AJ28" i="1"/>
  <c r="AJ29" i="1"/>
  <c r="AJ30" i="1"/>
  <c r="AJ31" i="1"/>
  <c r="AJ32" i="1"/>
  <c r="AJ33" i="1"/>
  <c r="AJ34" i="1"/>
  <c r="AJ35" i="1"/>
  <c r="AJ5" i="1"/>
  <c r="AI6" i="1"/>
  <c r="AI7" i="1"/>
  <c r="AI8" i="1"/>
  <c r="AI9" i="1"/>
  <c r="AI10" i="1"/>
  <c r="AI11" i="1"/>
  <c r="AI12" i="1"/>
  <c r="AI13" i="1"/>
  <c r="AI14" i="1"/>
  <c r="AI15" i="1"/>
  <c r="AI16" i="1"/>
  <c r="AI17" i="1"/>
  <c r="AI18" i="1"/>
  <c r="AI19" i="1"/>
  <c r="AI20" i="1"/>
  <c r="AI21" i="1"/>
  <c r="AI22" i="1"/>
  <c r="AI23" i="1"/>
  <c r="AI24" i="1"/>
  <c r="AI25" i="1"/>
  <c r="AI26" i="1"/>
  <c r="AI27" i="1"/>
  <c r="AI28" i="1"/>
  <c r="AI29" i="1"/>
  <c r="AI30" i="1"/>
  <c r="AI31" i="1"/>
  <c r="AI32" i="1"/>
  <c r="AI33" i="1"/>
  <c r="AI34" i="1"/>
  <c r="AI35" i="1"/>
  <c r="AI5" i="1"/>
</calcChain>
</file>

<file path=xl/sharedStrings.xml><?xml version="1.0" encoding="utf-8"?>
<sst xmlns="http://schemas.openxmlformats.org/spreadsheetml/2006/main" count="41" uniqueCount="24">
  <si>
    <t>雇用者数</t>
    <rPh sb="0" eb="2">
      <t>コヨウ</t>
    </rPh>
    <rPh sb="2" eb="3">
      <t>シャ</t>
    </rPh>
    <rPh sb="3" eb="4">
      <t>スウ</t>
    </rPh>
    <phoneticPr fontId="2"/>
  </si>
  <si>
    <t>労働時間</t>
    <rPh sb="0" eb="4">
      <t>ロウドウジカン</t>
    </rPh>
    <phoneticPr fontId="2"/>
  </si>
  <si>
    <t>鉱業</t>
    <phoneticPr fontId="2"/>
  </si>
  <si>
    <t>農林水産業</t>
    <phoneticPr fontId="2"/>
  </si>
  <si>
    <t>製造業</t>
    <phoneticPr fontId="2"/>
  </si>
  <si>
    <t>電気・ガス・水道・廃棄物処理業</t>
    <rPh sb="6" eb="8">
      <t>スイドウ</t>
    </rPh>
    <rPh sb="9" eb="12">
      <t>ハイキブツ</t>
    </rPh>
    <rPh sb="12" eb="14">
      <t>ショリ</t>
    </rPh>
    <rPh sb="14" eb="15">
      <t>ギョウ</t>
    </rPh>
    <phoneticPr fontId="1"/>
  </si>
  <si>
    <t>建設業</t>
    <phoneticPr fontId="2"/>
  </si>
  <si>
    <t>卸売・小売業</t>
    <phoneticPr fontId="2"/>
  </si>
  <si>
    <t>運輸・郵便業</t>
    <rPh sb="3" eb="5">
      <t>ユウビン</t>
    </rPh>
    <phoneticPr fontId="1"/>
  </si>
  <si>
    <t>宿泊・飲食サービス業</t>
    <rPh sb="0" eb="2">
      <t>シュクハク</t>
    </rPh>
    <rPh sb="3" eb="5">
      <t>インショク</t>
    </rPh>
    <rPh sb="9" eb="10">
      <t>ギョウ</t>
    </rPh>
    <phoneticPr fontId="1"/>
  </si>
  <si>
    <t>情報通信業</t>
    <rPh sb="0" eb="2">
      <t>ジョウホウ</t>
    </rPh>
    <rPh sb="2" eb="4">
      <t>ツウシン</t>
    </rPh>
    <phoneticPr fontId="1"/>
  </si>
  <si>
    <t>金融・保険業</t>
    <phoneticPr fontId="2"/>
  </si>
  <si>
    <t>不動産業</t>
    <rPh sb="0" eb="1">
      <t>フ</t>
    </rPh>
    <phoneticPr fontId="1"/>
  </si>
  <si>
    <t>専門・科学技術、業務支援サービス業</t>
    <rPh sb="0" eb="2">
      <t>センモン</t>
    </rPh>
    <rPh sb="3" eb="5">
      <t>カガク</t>
    </rPh>
    <rPh sb="5" eb="7">
      <t>ギジュツ</t>
    </rPh>
    <rPh sb="8" eb="10">
      <t>ギョウム</t>
    </rPh>
    <rPh sb="10" eb="12">
      <t>シエン</t>
    </rPh>
    <rPh sb="16" eb="17">
      <t>ギョウ</t>
    </rPh>
    <phoneticPr fontId="1"/>
  </si>
  <si>
    <t>公務</t>
    <rPh sb="0" eb="1">
      <t>コウ</t>
    </rPh>
    <rPh sb="1" eb="2">
      <t>ツトム</t>
    </rPh>
    <phoneticPr fontId="1"/>
  </si>
  <si>
    <t>教育</t>
    <rPh sb="0" eb="1">
      <t>キョウ</t>
    </rPh>
    <rPh sb="1" eb="2">
      <t>イク</t>
    </rPh>
    <phoneticPr fontId="1"/>
  </si>
  <si>
    <t>保健衛生・社会事業</t>
    <rPh sb="0" eb="2">
      <t>ホケン</t>
    </rPh>
    <rPh sb="2" eb="4">
      <t>エイセイ</t>
    </rPh>
    <rPh sb="5" eb="7">
      <t>シャカイ</t>
    </rPh>
    <rPh sb="7" eb="9">
      <t>ジギョウ</t>
    </rPh>
    <phoneticPr fontId="1"/>
  </si>
  <si>
    <t>その他のサービス</t>
    <rPh sb="2" eb="3">
      <t>タ</t>
    </rPh>
    <phoneticPr fontId="1"/>
  </si>
  <si>
    <t>雇用者数</t>
    <rPh sb="0" eb="3">
      <t>コヨウシャ</t>
    </rPh>
    <rPh sb="3" eb="4">
      <t>スウ</t>
    </rPh>
    <phoneticPr fontId="2"/>
  </si>
  <si>
    <t>労働時間</t>
    <rPh sb="0" eb="2">
      <t>ロウドウ</t>
    </rPh>
    <rPh sb="2" eb="4">
      <t>ジカン</t>
    </rPh>
    <phoneticPr fontId="2"/>
  </si>
  <si>
    <t>指数</t>
    <rPh sb="0" eb="2">
      <t>シスウ</t>
    </rPh>
    <phoneticPr fontId="2"/>
  </si>
  <si>
    <t>毎勤労働時間</t>
    <rPh sb="0" eb="1">
      <t>マイ</t>
    </rPh>
    <rPh sb="1" eb="2">
      <t>キン</t>
    </rPh>
    <rPh sb="2" eb="4">
      <t>ロウドウ</t>
    </rPh>
    <rPh sb="4" eb="6">
      <t>ジカン</t>
    </rPh>
    <phoneticPr fontId="2"/>
  </si>
  <si>
    <t>除農林水産業・公務</t>
    <rPh sb="0" eb="1">
      <t>ノゾ</t>
    </rPh>
    <rPh sb="1" eb="3">
      <t>ノウリン</t>
    </rPh>
    <rPh sb="3" eb="6">
      <t>スイサンギョウ</t>
    </rPh>
    <rPh sb="7" eb="9">
      <t>コウム</t>
    </rPh>
    <phoneticPr fontId="2"/>
  </si>
  <si>
    <t>SNA労働時間</t>
    <rPh sb="3" eb="5">
      <t>ロウドウ</t>
    </rPh>
    <rPh sb="5" eb="7">
      <t>ジカン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</si>
</sst>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9" formatCode="0.0"/>
  </numFmts>
  <fonts count="3" x14ac:knownFonts="1">
    <font>
      <sz val="9"/>
      <color theme="1"/>
      <name val="Meiryo UI"/>
      <family val="2"/>
      <charset val="128"/>
    </font>
    <font>
      <sz val="18"/>
      <color theme="3"/>
      <name val="游ゴシック Light"/>
      <family val="2"/>
      <charset val="128"/>
      <scheme val="major"/>
    </font>
    <font>
      <sz val="6"/>
      <name val="Meiryo UI"/>
      <family val="2"/>
      <charset val="128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179" fontId="0" fillId="0" borderId="0" xfId="0" applyNumberFormat="1">
      <alignment vertical="center"/>
    </xf>
    <xf numFmtId="179" fontId="0" fillId="2" borderId="0" xfId="0" applyNumberFormat="1" applyFill="1">
      <alignment vertical="center"/>
    </xf>
    <xf numFmtId="179" fontId="0" fillId="3" borderId="0" xfId="0" applyNumberFormat="1" applyFill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ja-JP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Sheet1!$AK$2</c:f>
              <c:strCache>
                <c:ptCount val="1"/>
                <c:pt idx="0">
                  <c:v>SNA労働時間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Sheet1!$A$6:$A$36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Sheet1!$AK$6:$AK$36</c:f>
              <c:numCache>
                <c:formatCode>0.0</c:formatCode>
                <c:ptCount val="31"/>
                <c:pt idx="0">
                  <c:v>115.17469190537221</c:v>
                </c:pt>
                <c:pt idx="1">
                  <c:v>115.41575265232549</c:v>
                </c:pt>
                <c:pt idx="2">
                  <c:v>113.73762097014865</c:v>
                </c:pt>
                <c:pt idx="3">
                  <c:v>112.44018361662494</c:v>
                </c:pt>
                <c:pt idx="4">
                  <c:v>111.46218977563225</c:v>
                </c:pt>
                <c:pt idx="5">
                  <c:v>111.81760776843626</c:v>
                </c:pt>
                <c:pt idx="6">
                  <c:v>110.92678083076923</c:v>
                </c:pt>
                <c:pt idx="7">
                  <c:v>110.15114467281128</c:v>
                </c:pt>
                <c:pt idx="8">
                  <c:v>110.39588503769362</c:v>
                </c:pt>
                <c:pt idx="9">
                  <c:v>110.93583377116521</c:v>
                </c:pt>
                <c:pt idx="10">
                  <c:v>110.28131846733939</c:v>
                </c:pt>
                <c:pt idx="11">
                  <c:v>110.68616202764865</c:v>
                </c:pt>
                <c:pt idx="12">
                  <c:v>109.98496258143892</c:v>
                </c:pt>
                <c:pt idx="13">
                  <c:v>108.69178178681196</c:v>
                </c:pt>
                <c:pt idx="14">
                  <c:v>105.72077611315964</c:v>
                </c:pt>
                <c:pt idx="15">
                  <c:v>106.88312336387678</c:v>
                </c:pt>
                <c:pt idx="16">
                  <c:v>106.5405935511082</c:v>
                </c:pt>
                <c:pt idx="17">
                  <c:v>107.30591545242444</c:v>
                </c:pt>
                <c:pt idx="18">
                  <c:v>106.20018909079735</c:v>
                </c:pt>
                <c:pt idx="19">
                  <c:v>105.96549576186771</c:v>
                </c:pt>
                <c:pt idx="20">
                  <c:v>105.54785363345115</c:v>
                </c:pt>
                <c:pt idx="21">
                  <c:v>105.10387255783979</c:v>
                </c:pt>
                <c:pt idx="22">
                  <c:v>105.17208576035692</c:v>
                </c:pt>
                <c:pt idx="23">
                  <c:v>104.11521257191903</c:v>
                </c:pt>
                <c:pt idx="24">
                  <c:v>102.25995145350291</c:v>
                </c:pt>
                <c:pt idx="25">
                  <c:v>100</c:v>
                </c:pt>
                <c:pt idx="26">
                  <c:v>101.15693191092603</c:v>
                </c:pt>
                <c:pt idx="27">
                  <c:v>100.97772178061501</c:v>
                </c:pt>
                <c:pt idx="28">
                  <c:v>101.10061589869525</c:v>
                </c:pt>
                <c:pt idx="29">
                  <c:v>100.15188070898171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EE-4B4A-B61B-F2F7694AF9E7}"/>
            </c:ext>
          </c:extLst>
        </c:ser>
        <c:ser>
          <c:idx val="1"/>
          <c:order val="1"/>
          <c:tx>
            <c:strRef>
              <c:f>Sheet1!$AL$2</c:f>
              <c:strCache>
                <c:ptCount val="1"/>
                <c:pt idx="0">
                  <c:v>毎勤労働時間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Sheet1!$A$6:$A$36</c:f>
              <c:numCache>
                <c:formatCode>General</c:formatCode>
                <c:ptCount val="31"/>
                <c:pt idx="0">
                  <c:v>1995</c:v>
                </c:pt>
                <c:pt idx="1">
                  <c:v>1996</c:v>
                </c:pt>
                <c:pt idx="2">
                  <c:v>1997</c:v>
                </c:pt>
                <c:pt idx="3">
                  <c:v>1998</c:v>
                </c:pt>
                <c:pt idx="4">
                  <c:v>1999</c:v>
                </c:pt>
                <c:pt idx="5">
                  <c:v>2000</c:v>
                </c:pt>
                <c:pt idx="6">
                  <c:v>2001</c:v>
                </c:pt>
                <c:pt idx="7">
                  <c:v>2002</c:v>
                </c:pt>
                <c:pt idx="8">
                  <c:v>2003</c:v>
                </c:pt>
                <c:pt idx="9">
                  <c:v>2004</c:v>
                </c:pt>
                <c:pt idx="10">
                  <c:v>2005</c:v>
                </c:pt>
                <c:pt idx="11">
                  <c:v>2006</c:v>
                </c:pt>
                <c:pt idx="12">
                  <c:v>2007</c:v>
                </c:pt>
                <c:pt idx="13">
                  <c:v>2008</c:v>
                </c:pt>
                <c:pt idx="14">
                  <c:v>2009</c:v>
                </c:pt>
                <c:pt idx="15">
                  <c:v>2010</c:v>
                </c:pt>
                <c:pt idx="16">
                  <c:v>2011</c:v>
                </c:pt>
                <c:pt idx="17">
                  <c:v>2012</c:v>
                </c:pt>
                <c:pt idx="18">
                  <c:v>2013</c:v>
                </c:pt>
                <c:pt idx="19">
                  <c:v>2014</c:v>
                </c:pt>
                <c:pt idx="20">
                  <c:v>2015</c:v>
                </c:pt>
                <c:pt idx="21">
                  <c:v>2016</c:v>
                </c:pt>
                <c:pt idx="22">
                  <c:v>2017</c:v>
                </c:pt>
                <c:pt idx="23">
                  <c:v>2018</c:v>
                </c:pt>
                <c:pt idx="24">
                  <c:v>2019</c:v>
                </c:pt>
                <c:pt idx="25">
                  <c:v>2020</c:v>
                </c:pt>
                <c:pt idx="26">
                  <c:v>2021</c:v>
                </c:pt>
                <c:pt idx="27">
                  <c:v>2022</c:v>
                </c:pt>
                <c:pt idx="28">
                  <c:v>2023</c:v>
                </c:pt>
                <c:pt idx="29">
                  <c:v>2024</c:v>
                </c:pt>
              </c:numCache>
            </c:numRef>
          </c:cat>
          <c:val>
            <c:numRef>
              <c:f>Sheet1!$AL$6:$AL$36</c:f>
              <c:numCache>
                <c:formatCode>0.0</c:formatCode>
                <c:ptCount val="31"/>
                <c:pt idx="0">
                  <c:v>117.8</c:v>
                </c:pt>
                <c:pt idx="1">
                  <c:v>117.9</c:v>
                </c:pt>
                <c:pt idx="2">
                  <c:v>116.3</c:v>
                </c:pt>
                <c:pt idx="3">
                  <c:v>115</c:v>
                </c:pt>
                <c:pt idx="4">
                  <c:v>113.7</c:v>
                </c:pt>
                <c:pt idx="5">
                  <c:v>114.5</c:v>
                </c:pt>
                <c:pt idx="6">
                  <c:v>113.3</c:v>
                </c:pt>
                <c:pt idx="7">
                  <c:v>112.2</c:v>
                </c:pt>
                <c:pt idx="8">
                  <c:v>112.2</c:v>
                </c:pt>
                <c:pt idx="9">
                  <c:v>112.4</c:v>
                </c:pt>
                <c:pt idx="10">
                  <c:v>111.7</c:v>
                </c:pt>
                <c:pt idx="11">
                  <c:v>112.2</c:v>
                </c:pt>
                <c:pt idx="12">
                  <c:v>111.4</c:v>
                </c:pt>
                <c:pt idx="13">
                  <c:v>110.2</c:v>
                </c:pt>
                <c:pt idx="14">
                  <c:v>107</c:v>
                </c:pt>
                <c:pt idx="15">
                  <c:v>108.6</c:v>
                </c:pt>
                <c:pt idx="16">
                  <c:v>108.3</c:v>
                </c:pt>
                <c:pt idx="17">
                  <c:v>108.9</c:v>
                </c:pt>
                <c:pt idx="18">
                  <c:v>107.7</c:v>
                </c:pt>
                <c:pt idx="19">
                  <c:v>107.3</c:v>
                </c:pt>
                <c:pt idx="20">
                  <c:v>106.9</c:v>
                </c:pt>
                <c:pt idx="21">
                  <c:v>106.3</c:v>
                </c:pt>
                <c:pt idx="22">
                  <c:v>106.1</c:v>
                </c:pt>
                <c:pt idx="23">
                  <c:v>105.2</c:v>
                </c:pt>
                <c:pt idx="24">
                  <c:v>102.9</c:v>
                </c:pt>
                <c:pt idx="25">
                  <c:v>100</c:v>
                </c:pt>
                <c:pt idx="26">
                  <c:v>100.7</c:v>
                </c:pt>
                <c:pt idx="27">
                  <c:v>100.8</c:v>
                </c:pt>
                <c:pt idx="28">
                  <c:v>100.9</c:v>
                </c:pt>
                <c:pt idx="29">
                  <c:v>99.891000000000005</c:v>
                </c:pt>
                <c:pt idx="30">
                  <c:v>98.492525999999998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0EE-4B4A-B61B-F2F7694AF9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52586704"/>
        <c:axId val="752587664"/>
      </c:lineChart>
      <c:catAx>
        <c:axId val="752586704"/>
        <c:scaling>
          <c:orientation val="minMax"/>
        </c:scaling>
        <c:delete val="0"/>
        <c:axPos val="b"/>
        <c:numFmt formatCode="General" sourceLinked="1"/>
        <c:majorTickMark val="in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2587664"/>
        <c:crosses val="autoZero"/>
        <c:auto val="1"/>
        <c:lblAlgn val="ctr"/>
        <c:lblOffset val="100"/>
        <c:tickLblSkip val="5"/>
        <c:tickMarkSkip val="5"/>
        <c:noMultiLvlLbl val="0"/>
      </c:catAx>
      <c:valAx>
        <c:axId val="752587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ja-JP"/>
          </a:p>
        </c:txPr>
        <c:crossAx val="752586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ja-JP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ja-J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38</xdr:col>
      <xdr:colOff>301942</xdr:colOff>
      <xdr:row>9</xdr:row>
      <xdr:rowOff>152400</xdr:rowOff>
    </xdr:from>
    <xdr:to>
      <xdr:col>46</xdr:col>
      <xdr:colOff>2857</xdr:colOff>
      <xdr:row>31</xdr:row>
      <xdr:rowOff>87630</xdr:rowOff>
    </xdr:to>
    <xdr:graphicFrame macro="">
      <xdr:nvGraphicFramePr>
        <xdr:cNvPr id="2" name="グラフ 1">
          <a:extLst>
            <a:ext uri="{FF2B5EF4-FFF2-40B4-BE49-F238E27FC236}">
              <a16:creationId xmlns:a16="http://schemas.microsoft.com/office/drawing/2014/main" id="{8C7A1125-CD50-8895-C398-AF8A4820F9E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FF2511-CF27-44F2-AE9D-85DB1D71994E}">
  <dimension ref="A2:AN36"/>
  <sheetViews>
    <sheetView tabSelected="1" workbookViewId="0">
      <pane xSplit="1" ySplit="4" topLeftCell="V5" activePane="bottomRight" state="frozen"/>
      <selection pane="topRight" activeCell="B1" sqref="B1"/>
      <selection pane="bottomLeft" activeCell="A5" sqref="A5"/>
      <selection pane="bottomRight" activeCell="AL29" sqref="AL29"/>
    </sheetView>
  </sheetViews>
  <sheetFormatPr defaultRowHeight="12.6" x14ac:dyDescent="0.25"/>
  <cols>
    <col min="2" max="35" width="8.88671875" style="1"/>
    <col min="36" max="36" width="10.109375" style="1" bestFit="1" customWidth="1"/>
    <col min="37" max="40" width="8.88671875" style="1"/>
  </cols>
  <sheetData>
    <row r="2" spans="1:38" x14ac:dyDescent="0.25">
      <c r="B2" s="1" t="s">
        <v>0</v>
      </c>
      <c r="R2" s="1" t="s">
        <v>1</v>
      </c>
      <c r="AI2" s="1" t="s">
        <v>18</v>
      </c>
      <c r="AJ2" s="1" t="s">
        <v>19</v>
      </c>
      <c r="AK2" s="1" t="s">
        <v>23</v>
      </c>
      <c r="AL2" s="1" t="s">
        <v>21</v>
      </c>
    </row>
    <row r="3" spans="1:38" x14ac:dyDescent="0.25">
      <c r="B3" s="2" t="s">
        <v>3</v>
      </c>
      <c r="C3" s="1" t="s">
        <v>2</v>
      </c>
      <c r="D3" s="1" t="s">
        <v>4</v>
      </c>
      <c r="E3" s="1" t="s">
        <v>5</v>
      </c>
      <c r="F3" s="1" t="s">
        <v>6</v>
      </c>
      <c r="G3" s="1" t="s">
        <v>7</v>
      </c>
      <c r="H3" s="1" t="s">
        <v>8</v>
      </c>
      <c r="I3" s="1" t="s">
        <v>9</v>
      </c>
      <c r="J3" s="1" t="s">
        <v>10</v>
      </c>
      <c r="K3" s="1" t="s">
        <v>11</v>
      </c>
      <c r="L3" s="1" t="s">
        <v>12</v>
      </c>
      <c r="M3" s="1" t="s">
        <v>13</v>
      </c>
      <c r="N3" s="2" t="s">
        <v>14</v>
      </c>
      <c r="O3" s="1" t="s">
        <v>15</v>
      </c>
      <c r="P3" s="1" t="s">
        <v>16</v>
      </c>
      <c r="Q3" s="1" t="s">
        <v>17</v>
      </c>
      <c r="R3" s="2" t="s">
        <v>3</v>
      </c>
      <c r="S3" s="1" t="s">
        <v>2</v>
      </c>
      <c r="T3" s="1" t="s">
        <v>4</v>
      </c>
      <c r="U3" s="1" t="s">
        <v>5</v>
      </c>
      <c r="V3" s="1" t="s">
        <v>6</v>
      </c>
      <c r="W3" s="1" t="s">
        <v>7</v>
      </c>
      <c r="X3" s="1" t="s">
        <v>8</v>
      </c>
      <c r="Y3" s="1" t="s">
        <v>9</v>
      </c>
      <c r="Z3" s="1" t="s">
        <v>10</v>
      </c>
      <c r="AA3" s="1" t="s">
        <v>11</v>
      </c>
      <c r="AB3" s="1" t="s">
        <v>12</v>
      </c>
      <c r="AC3" s="1" t="s">
        <v>13</v>
      </c>
      <c r="AD3" s="2" t="s">
        <v>14</v>
      </c>
      <c r="AE3" s="1" t="s">
        <v>15</v>
      </c>
      <c r="AF3" s="1" t="s">
        <v>16</v>
      </c>
      <c r="AG3" s="1" t="s">
        <v>17</v>
      </c>
      <c r="AI3" s="1" t="s">
        <v>22</v>
      </c>
      <c r="AJ3" s="1" t="s">
        <v>22</v>
      </c>
    </row>
    <row r="4" spans="1:38" x14ac:dyDescent="0.25">
      <c r="AK4" s="1" t="s">
        <v>20</v>
      </c>
    </row>
    <row r="5" spans="1:38" x14ac:dyDescent="0.25">
      <c r="A5">
        <v>1994</v>
      </c>
      <c r="B5" s="2">
        <v>84.2</v>
      </c>
      <c r="C5" s="1">
        <v>8.6</v>
      </c>
      <c r="D5" s="1">
        <v>1261</v>
      </c>
      <c r="E5" s="1">
        <v>56.6</v>
      </c>
      <c r="F5" s="1">
        <v>548.79999999999995</v>
      </c>
      <c r="G5" s="1">
        <v>913.4</v>
      </c>
      <c r="H5" s="1">
        <v>334.5</v>
      </c>
      <c r="I5" s="1">
        <v>307</v>
      </c>
      <c r="J5" s="1">
        <v>124.6</v>
      </c>
      <c r="K5" s="1">
        <v>195</v>
      </c>
      <c r="L5" s="1">
        <v>65.599999999999994</v>
      </c>
      <c r="M5" s="1">
        <v>341.4</v>
      </c>
      <c r="N5" s="2">
        <v>199.3</v>
      </c>
      <c r="O5" s="1">
        <v>233.4</v>
      </c>
      <c r="P5" s="1">
        <v>319.8</v>
      </c>
      <c r="Q5" s="1">
        <v>363.1</v>
      </c>
      <c r="R5" s="2">
        <v>1808.3</v>
      </c>
      <c r="S5" s="1">
        <v>2204.8000000000002</v>
      </c>
      <c r="T5" s="1">
        <v>1962.1</v>
      </c>
      <c r="U5" s="1">
        <v>1864.7</v>
      </c>
      <c r="V5" s="1">
        <v>2082.1</v>
      </c>
      <c r="W5" s="1">
        <v>1844.8</v>
      </c>
      <c r="X5" s="1">
        <v>2097.8000000000002</v>
      </c>
      <c r="Y5" s="1">
        <v>1507.2</v>
      </c>
      <c r="Z5" s="1">
        <v>1918.7</v>
      </c>
      <c r="AA5" s="1">
        <v>1828.1</v>
      </c>
      <c r="AB5" s="1">
        <v>1920.8</v>
      </c>
      <c r="AC5" s="1">
        <v>1930.3</v>
      </c>
      <c r="AD5" s="2">
        <v>1896.3</v>
      </c>
      <c r="AE5" s="1">
        <v>1731.6</v>
      </c>
      <c r="AF5" s="1">
        <v>1767.3</v>
      </c>
      <c r="AG5" s="1">
        <v>2053.4</v>
      </c>
      <c r="AI5" s="1">
        <f>SUM(C5:M5,O5:Q5)</f>
        <v>5072.7999999999993</v>
      </c>
      <c r="AJ5" s="1">
        <f>(SUMPRODUCT(C5:M5,S5:AC5)+SUMPRODUCT(O5:Q5,AE5:AG5))/AI5</f>
        <v>1909.4619618356726</v>
      </c>
      <c r="AK5" s="1">
        <f t="shared" ref="AK5:AK30" si="0">AJ5/AJ$31*100</f>
        <v>115.09322114279117</v>
      </c>
    </row>
    <row r="6" spans="1:38" x14ac:dyDescent="0.25">
      <c r="A6">
        <v>1995</v>
      </c>
      <c r="B6" s="2">
        <v>82</v>
      </c>
      <c r="C6" s="1">
        <v>8.3000000000000007</v>
      </c>
      <c r="D6" s="1">
        <v>1219</v>
      </c>
      <c r="E6" s="1">
        <v>57.5</v>
      </c>
      <c r="F6" s="1">
        <v>552.5</v>
      </c>
      <c r="G6" s="1">
        <v>930.3</v>
      </c>
      <c r="H6" s="1">
        <v>344.3</v>
      </c>
      <c r="I6" s="1">
        <v>311.5</v>
      </c>
      <c r="J6" s="1">
        <v>120.8</v>
      </c>
      <c r="K6" s="1">
        <v>194.7</v>
      </c>
      <c r="L6" s="1">
        <v>66.3</v>
      </c>
      <c r="M6" s="1">
        <v>353</v>
      </c>
      <c r="N6" s="2">
        <v>199.8</v>
      </c>
      <c r="O6" s="1">
        <v>235.7</v>
      </c>
      <c r="P6" s="1">
        <v>333</v>
      </c>
      <c r="Q6" s="1">
        <v>370.8</v>
      </c>
      <c r="R6" s="2">
        <v>1839.8</v>
      </c>
      <c r="S6" s="1">
        <v>2159.1999999999998</v>
      </c>
      <c r="T6" s="1">
        <v>1970.8</v>
      </c>
      <c r="U6" s="1">
        <v>1870.2</v>
      </c>
      <c r="V6" s="1">
        <v>2080.1999999999998</v>
      </c>
      <c r="W6" s="1">
        <v>1848</v>
      </c>
      <c r="X6" s="1">
        <v>2082.6</v>
      </c>
      <c r="Y6" s="1">
        <v>1507.3</v>
      </c>
      <c r="Z6" s="1">
        <v>1917.5</v>
      </c>
      <c r="AA6" s="1">
        <v>1842.5</v>
      </c>
      <c r="AB6" s="1">
        <v>1948.6</v>
      </c>
      <c r="AC6" s="1">
        <v>1930.5</v>
      </c>
      <c r="AD6" s="2">
        <v>1914</v>
      </c>
      <c r="AE6" s="1">
        <v>1728.3</v>
      </c>
      <c r="AF6" s="1">
        <v>1769.1</v>
      </c>
      <c r="AG6" s="1">
        <v>2050.5</v>
      </c>
      <c r="AI6" s="1">
        <f t="shared" ref="AI6:AI35" si="1">SUM(C6:M6,O6:Q6)</f>
        <v>5097.7000000000007</v>
      </c>
      <c r="AJ6" s="1">
        <f t="shared" ref="AJ6:AJ35" si="2">(SUMPRODUCT(C6:M6,S6:AC6)+SUMPRODUCT(O6:Q6,AE6:AG6))/AI6</f>
        <v>1910.8136080977688</v>
      </c>
      <c r="AK6" s="1">
        <f t="shared" si="0"/>
        <v>115.17469190537221</v>
      </c>
      <c r="AL6" s="1">
        <v>117.8</v>
      </c>
    </row>
    <row r="7" spans="1:38" x14ac:dyDescent="0.25">
      <c r="A7">
        <v>1996</v>
      </c>
      <c r="B7" s="2">
        <v>82.5</v>
      </c>
      <c r="C7" s="1">
        <v>8</v>
      </c>
      <c r="D7" s="1">
        <v>1207.4000000000001</v>
      </c>
      <c r="E7" s="1">
        <v>58.1</v>
      </c>
      <c r="F7" s="1">
        <v>551.1</v>
      </c>
      <c r="G7" s="1">
        <v>946.6</v>
      </c>
      <c r="H7" s="1">
        <v>349.8</v>
      </c>
      <c r="I7" s="1">
        <v>313.5</v>
      </c>
      <c r="J7" s="1">
        <v>122.9</v>
      </c>
      <c r="K7" s="1">
        <v>190.9</v>
      </c>
      <c r="L7" s="1">
        <v>65.5</v>
      </c>
      <c r="M7" s="1">
        <v>364.6</v>
      </c>
      <c r="N7" s="2">
        <v>200.1</v>
      </c>
      <c r="O7" s="1">
        <v>239.8</v>
      </c>
      <c r="P7" s="1">
        <v>346.1</v>
      </c>
      <c r="Q7" s="1">
        <v>372.1</v>
      </c>
      <c r="R7" s="2">
        <v>1838.7</v>
      </c>
      <c r="S7" s="1">
        <v>2187.5</v>
      </c>
      <c r="T7" s="1">
        <v>1984.9</v>
      </c>
      <c r="U7" s="1">
        <v>1855.7</v>
      </c>
      <c r="V7" s="1">
        <v>2099.1</v>
      </c>
      <c r="W7" s="1">
        <v>1857</v>
      </c>
      <c r="X7" s="1">
        <v>2085.6</v>
      </c>
      <c r="Y7" s="1">
        <v>1506.1</v>
      </c>
      <c r="Z7" s="1">
        <v>1885</v>
      </c>
      <c r="AA7" s="1">
        <v>1822.7</v>
      </c>
      <c r="AB7" s="1">
        <v>1955.3</v>
      </c>
      <c r="AC7" s="1">
        <v>1928.9</v>
      </c>
      <c r="AD7" s="2">
        <v>1895</v>
      </c>
      <c r="AE7" s="1">
        <v>1726.7</v>
      </c>
      <c r="AF7" s="1">
        <v>1765.9</v>
      </c>
      <c r="AG7" s="1">
        <v>2044.6</v>
      </c>
      <c r="AI7" s="1">
        <f t="shared" si="1"/>
        <v>5136.4000000000015</v>
      </c>
      <c r="AJ7" s="1">
        <f t="shared" si="2"/>
        <v>1914.8129429172179</v>
      </c>
      <c r="AK7" s="1">
        <f t="shared" si="0"/>
        <v>115.41575265232549</v>
      </c>
      <c r="AL7" s="1">
        <v>117.9</v>
      </c>
    </row>
    <row r="8" spans="1:38" x14ac:dyDescent="0.25">
      <c r="A8">
        <v>1997</v>
      </c>
      <c r="B8" s="2">
        <v>78.099999999999994</v>
      </c>
      <c r="C8" s="1">
        <v>7.7</v>
      </c>
      <c r="D8" s="1">
        <v>1203.7</v>
      </c>
      <c r="E8" s="1">
        <v>58.3</v>
      </c>
      <c r="F8" s="1">
        <v>556.1</v>
      </c>
      <c r="G8" s="1">
        <v>947.3</v>
      </c>
      <c r="H8" s="1">
        <v>347</v>
      </c>
      <c r="I8" s="1">
        <v>320</v>
      </c>
      <c r="J8" s="1">
        <v>129.69999999999999</v>
      </c>
      <c r="K8" s="1">
        <v>186.1</v>
      </c>
      <c r="L8" s="1">
        <v>66.099999999999994</v>
      </c>
      <c r="M8" s="1">
        <v>368</v>
      </c>
      <c r="N8" s="2">
        <v>200.3</v>
      </c>
      <c r="O8" s="1">
        <v>240.1</v>
      </c>
      <c r="P8" s="1">
        <v>360.7</v>
      </c>
      <c r="Q8" s="1">
        <v>400.3</v>
      </c>
      <c r="R8" s="2">
        <v>1822.6</v>
      </c>
      <c r="S8" s="1">
        <v>2133.5</v>
      </c>
      <c r="T8" s="1">
        <v>1972.1</v>
      </c>
      <c r="U8" s="1">
        <v>1829.2</v>
      </c>
      <c r="V8" s="1">
        <v>2058.5</v>
      </c>
      <c r="W8" s="1">
        <v>1830.8</v>
      </c>
      <c r="X8" s="1">
        <v>2050.1</v>
      </c>
      <c r="Y8" s="1">
        <v>1480.6</v>
      </c>
      <c r="Z8" s="1">
        <v>1856</v>
      </c>
      <c r="AA8" s="1">
        <v>1810.2</v>
      </c>
      <c r="AB8" s="1">
        <v>1922.9</v>
      </c>
      <c r="AC8" s="1">
        <v>1896.3</v>
      </c>
      <c r="AD8" s="2">
        <v>1864.7</v>
      </c>
      <c r="AE8" s="1">
        <v>1698.7</v>
      </c>
      <c r="AF8" s="1">
        <v>1736.7</v>
      </c>
      <c r="AG8" s="1">
        <v>1992.3</v>
      </c>
      <c r="AI8" s="1">
        <f t="shared" si="1"/>
        <v>5191.1000000000004</v>
      </c>
      <c r="AJ8" s="1">
        <f t="shared" si="2"/>
        <v>1886.9717844002234</v>
      </c>
      <c r="AK8" s="1">
        <f t="shared" si="0"/>
        <v>113.73762097014865</v>
      </c>
      <c r="AL8" s="1">
        <v>116.3</v>
      </c>
    </row>
    <row r="9" spans="1:38" x14ac:dyDescent="0.25">
      <c r="A9">
        <v>1998</v>
      </c>
      <c r="B9" s="2">
        <v>74.400000000000006</v>
      </c>
      <c r="C9" s="1">
        <v>7.6</v>
      </c>
      <c r="D9" s="1">
        <v>1155.8</v>
      </c>
      <c r="E9" s="1">
        <v>58.4</v>
      </c>
      <c r="F9" s="1">
        <v>535.9</v>
      </c>
      <c r="G9" s="1">
        <v>949.4</v>
      </c>
      <c r="H9" s="1">
        <v>338.4</v>
      </c>
      <c r="I9" s="1">
        <v>324.2</v>
      </c>
      <c r="J9" s="1">
        <v>133.19999999999999</v>
      </c>
      <c r="K9" s="1">
        <v>185.8</v>
      </c>
      <c r="L9" s="1">
        <v>68.5</v>
      </c>
      <c r="M9" s="1">
        <v>371.4</v>
      </c>
      <c r="N9" s="2">
        <v>199.5</v>
      </c>
      <c r="O9" s="1">
        <v>240.4</v>
      </c>
      <c r="P9" s="1">
        <v>375.4</v>
      </c>
      <c r="Q9" s="1">
        <v>407.1</v>
      </c>
      <c r="R9" s="2">
        <v>1804.8</v>
      </c>
      <c r="S9" s="1">
        <v>2130.3000000000002</v>
      </c>
      <c r="T9" s="1">
        <v>1935.8</v>
      </c>
      <c r="U9" s="1">
        <v>1822.3</v>
      </c>
      <c r="V9" s="1">
        <v>2026.8</v>
      </c>
      <c r="W9" s="1">
        <v>1821.5</v>
      </c>
      <c r="X9" s="1">
        <v>2047.2</v>
      </c>
      <c r="Y9" s="1">
        <v>1466</v>
      </c>
      <c r="Z9" s="1">
        <v>1853.1</v>
      </c>
      <c r="AA9" s="1">
        <v>1818.5</v>
      </c>
      <c r="AB9" s="1">
        <v>1931.1</v>
      </c>
      <c r="AC9" s="1">
        <v>1877.5</v>
      </c>
      <c r="AD9" s="2">
        <v>1863</v>
      </c>
      <c r="AE9" s="1">
        <v>1680.7</v>
      </c>
      <c r="AF9" s="1">
        <v>1721.3</v>
      </c>
      <c r="AG9" s="1">
        <v>1969.5</v>
      </c>
      <c r="AI9" s="1">
        <f t="shared" si="1"/>
        <v>5151.4999999999991</v>
      </c>
      <c r="AJ9" s="1">
        <f t="shared" si="2"/>
        <v>1865.4465611957683</v>
      </c>
      <c r="AK9" s="1">
        <f t="shared" si="0"/>
        <v>112.44018361662494</v>
      </c>
      <c r="AL9" s="1">
        <v>115</v>
      </c>
    </row>
    <row r="10" spans="1:38" x14ac:dyDescent="0.25">
      <c r="A10">
        <v>1999</v>
      </c>
      <c r="B10" s="2">
        <v>75.2</v>
      </c>
      <c r="C10" s="1">
        <v>7.1</v>
      </c>
      <c r="D10" s="1">
        <v>1120</v>
      </c>
      <c r="E10" s="1">
        <v>58.5</v>
      </c>
      <c r="F10" s="1">
        <v>526.1</v>
      </c>
      <c r="G10" s="1">
        <v>942.5</v>
      </c>
      <c r="H10" s="1">
        <v>333.9</v>
      </c>
      <c r="I10" s="1">
        <v>327</v>
      </c>
      <c r="J10" s="1">
        <v>134.30000000000001</v>
      </c>
      <c r="K10" s="1">
        <v>179.2</v>
      </c>
      <c r="L10" s="1">
        <v>68.2</v>
      </c>
      <c r="M10" s="1">
        <v>374.7</v>
      </c>
      <c r="N10" s="2">
        <v>199.1</v>
      </c>
      <c r="O10" s="1">
        <v>240.7</v>
      </c>
      <c r="P10" s="1">
        <v>389.9</v>
      </c>
      <c r="Q10" s="1">
        <v>392.4</v>
      </c>
      <c r="R10" s="2">
        <v>1803.5</v>
      </c>
      <c r="S10" s="1">
        <v>2082.6</v>
      </c>
      <c r="T10" s="1">
        <v>1933.5</v>
      </c>
      <c r="U10" s="1">
        <v>1803.4</v>
      </c>
      <c r="V10" s="1">
        <v>2018.6</v>
      </c>
      <c r="W10" s="1">
        <v>1800</v>
      </c>
      <c r="X10" s="1">
        <v>2051.1999999999998</v>
      </c>
      <c r="Y10" s="1">
        <v>1444.4</v>
      </c>
      <c r="Z10" s="1">
        <v>1834.1</v>
      </c>
      <c r="AA10" s="1">
        <v>1792.9</v>
      </c>
      <c r="AB10" s="1">
        <v>1913.3</v>
      </c>
      <c r="AC10" s="1">
        <v>1850.1</v>
      </c>
      <c r="AD10" s="2">
        <v>1853.1</v>
      </c>
      <c r="AE10" s="1">
        <v>1660.4</v>
      </c>
      <c r="AF10" s="1">
        <v>1698.7</v>
      </c>
      <c r="AG10" s="1">
        <v>1952.2</v>
      </c>
      <c r="AI10" s="1">
        <f t="shared" si="1"/>
        <v>5094.4999999999991</v>
      </c>
      <c r="AJ10" s="1">
        <f t="shared" si="2"/>
        <v>1849.2210874472471</v>
      </c>
      <c r="AK10" s="1">
        <f t="shared" si="0"/>
        <v>111.46218977563225</v>
      </c>
      <c r="AL10" s="1">
        <v>113.7</v>
      </c>
    </row>
    <row r="11" spans="1:38" x14ac:dyDescent="0.25">
      <c r="A11">
        <v>2000</v>
      </c>
      <c r="B11" s="2">
        <v>77.400000000000006</v>
      </c>
      <c r="C11" s="1">
        <v>6.8</v>
      </c>
      <c r="D11" s="1">
        <v>1101.4000000000001</v>
      </c>
      <c r="E11" s="1">
        <v>58.1</v>
      </c>
      <c r="F11" s="1">
        <v>512.9</v>
      </c>
      <c r="G11" s="1">
        <v>945.9</v>
      </c>
      <c r="H11" s="1">
        <v>337.6</v>
      </c>
      <c r="I11" s="1">
        <v>322.7</v>
      </c>
      <c r="J11" s="1">
        <v>137.80000000000001</v>
      </c>
      <c r="K11" s="1">
        <v>173.7</v>
      </c>
      <c r="L11" s="1">
        <v>68.7</v>
      </c>
      <c r="M11" s="1">
        <v>387.9</v>
      </c>
      <c r="N11" s="2">
        <v>206</v>
      </c>
      <c r="O11" s="1">
        <v>239.5</v>
      </c>
      <c r="P11" s="1">
        <v>415.6</v>
      </c>
      <c r="Q11" s="1">
        <v>382.5</v>
      </c>
      <c r="R11" s="2">
        <v>1806.9</v>
      </c>
      <c r="S11" s="1">
        <v>2078.8000000000002</v>
      </c>
      <c r="T11" s="1">
        <v>1962.1</v>
      </c>
      <c r="U11" s="1">
        <v>1831.4</v>
      </c>
      <c r="V11" s="1">
        <v>2037.5</v>
      </c>
      <c r="W11" s="1">
        <v>1739.1</v>
      </c>
      <c r="X11" s="1">
        <v>2058.6999999999998</v>
      </c>
      <c r="Y11" s="1">
        <v>1472.4</v>
      </c>
      <c r="Z11" s="1">
        <v>1888</v>
      </c>
      <c r="AA11" s="1">
        <v>1805.7</v>
      </c>
      <c r="AB11" s="1">
        <v>1888.3</v>
      </c>
      <c r="AC11" s="1">
        <v>1884.9</v>
      </c>
      <c r="AD11" s="2">
        <v>1902.4</v>
      </c>
      <c r="AE11" s="1">
        <v>1674.9</v>
      </c>
      <c r="AF11" s="1">
        <v>1723.7</v>
      </c>
      <c r="AG11" s="1">
        <v>1962.3</v>
      </c>
      <c r="AI11" s="1">
        <f t="shared" si="1"/>
        <v>5091.1000000000004</v>
      </c>
      <c r="AJ11" s="1">
        <f t="shared" si="2"/>
        <v>1855.1176739800828</v>
      </c>
      <c r="AK11" s="1">
        <f t="shared" si="0"/>
        <v>111.81760776843626</v>
      </c>
      <c r="AL11" s="1">
        <v>114.5</v>
      </c>
    </row>
    <row r="12" spans="1:38" x14ac:dyDescent="0.25">
      <c r="A12">
        <v>2001</v>
      </c>
      <c r="B12" s="2">
        <v>77.3</v>
      </c>
      <c r="C12" s="1">
        <v>6.3</v>
      </c>
      <c r="D12" s="1">
        <v>1086.9000000000001</v>
      </c>
      <c r="E12" s="1">
        <v>57.9</v>
      </c>
      <c r="F12" s="1">
        <v>498.4</v>
      </c>
      <c r="G12" s="1">
        <v>946.5</v>
      </c>
      <c r="H12" s="1">
        <v>333.6</v>
      </c>
      <c r="I12" s="1">
        <v>328.7</v>
      </c>
      <c r="J12" s="1">
        <v>140.69999999999999</v>
      </c>
      <c r="K12" s="1">
        <v>166.1</v>
      </c>
      <c r="L12" s="1">
        <v>67.900000000000006</v>
      </c>
      <c r="M12" s="1">
        <v>401</v>
      </c>
      <c r="N12" s="2">
        <v>208.1</v>
      </c>
      <c r="O12" s="1">
        <v>238.2</v>
      </c>
      <c r="P12" s="1">
        <v>441.4</v>
      </c>
      <c r="Q12" s="1">
        <v>392.7</v>
      </c>
      <c r="R12" s="2">
        <v>1822.7</v>
      </c>
      <c r="S12" s="1">
        <v>2036</v>
      </c>
      <c r="T12" s="1">
        <v>1945.6</v>
      </c>
      <c r="U12" s="1">
        <v>1835.9</v>
      </c>
      <c r="V12" s="1">
        <v>2019.5</v>
      </c>
      <c r="W12" s="1">
        <v>1735.3</v>
      </c>
      <c r="X12" s="1">
        <v>2051.1</v>
      </c>
      <c r="Y12" s="1">
        <v>1457.2</v>
      </c>
      <c r="Z12" s="1">
        <v>1883.7</v>
      </c>
      <c r="AA12" s="1">
        <v>1802.7</v>
      </c>
      <c r="AB12" s="1">
        <v>1867.8</v>
      </c>
      <c r="AC12" s="1">
        <v>1866</v>
      </c>
      <c r="AD12" s="2">
        <v>1859.5</v>
      </c>
      <c r="AE12" s="1">
        <v>1667.2</v>
      </c>
      <c r="AF12" s="1">
        <v>1705.2</v>
      </c>
      <c r="AG12" s="1">
        <v>1940.3</v>
      </c>
      <c r="AI12" s="1">
        <f t="shared" si="1"/>
        <v>5106.2999999999993</v>
      </c>
      <c r="AJ12" s="1">
        <f t="shared" si="2"/>
        <v>1840.3383487064998</v>
      </c>
      <c r="AK12" s="1">
        <f t="shared" si="0"/>
        <v>110.92678083076923</v>
      </c>
      <c r="AL12" s="1">
        <v>113.3</v>
      </c>
    </row>
    <row r="13" spans="1:38" x14ac:dyDescent="0.25">
      <c r="A13">
        <v>2002</v>
      </c>
      <c r="B13" s="2">
        <v>77.400000000000006</v>
      </c>
      <c r="C13" s="1">
        <v>6</v>
      </c>
      <c r="D13" s="1">
        <v>1043.7</v>
      </c>
      <c r="E13" s="1">
        <v>57.6</v>
      </c>
      <c r="F13" s="1">
        <v>488.1</v>
      </c>
      <c r="G13" s="1">
        <v>954.7</v>
      </c>
      <c r="H13" s="1">
        <v>333.4</v>
      </c>
      <c r="I13" s="1">
        <v>306.5</v>
      </c>
      <c r="J13" s="1">
        <v>141.80000000000001</v>
      </c>
      <c r="K13" s="1">
        <v>167.8</v>
      </c>
      <c r="L13" s="1">
        <v>68.7</v>
      </c>
      <c r="M13" s="1">
        <v>410.3</v>
      </c>
      <c r="N13" s="2">
        <v>205.3</v>
      </c>
      <c r="O13" s="1">
        <v>239.3</v>
      </c>
      <c r="P13" s="1">
        <v>459.5</v>
      </c>
      <c r="Q13" s="1">
        <v>392.5</v>
      </c>
      <c r="R13" s="2">
        <v>1838.6</v>
      </c>
      <c r="S13" s="1">
        <v>2055.9</v>
      </c>
      <c r="T13" s="1">
        <v>1950.4</v>
      </c>
      <c r="U13" s="1">
        <v>1832.5</v>
      </c>
      <c r="V13" s="1">
        <v>2021.4</v>
      </c>
      <c r="W13" s="1">
        <v>1719.8</v>
      </c>
      <c r="X13" s="1">
        <v>2046.8</v>
      </c>
      <c r="Y13" s="1">
        <v>1437.4</v>
      </c>
      <c r="Z13" s="1">
        <v>1873.6</v>
      </c>
      <c r="AA13" s="1">
        <v>1791.7</v>
      </c>
      <c r="AB13" s="1">
        <v>1870.9</v>
      </c>
      <c r="AC13" s="1">
        <v>1840.7</v>
      </c>
      <c r="AD13" s="2">
        <v>1846</v>
      </c>
      <c r="AE13" s="1">
        <v>1641</v>
      </c>
      <c r="AF13" s="1">
        <v>1681.8</v>
      </c>
      <c r="AG13" s="1">
        <v>1896.8</v>
      </c>
      <c r="AI13" s="1">
        <f t="shared" si="1"/>
        <v>5069.9000000000005</v>
      </c>
      <c r="AJ13" s="1">
        <f t="shared" si="2"/>
        <v>1827.4701039468227</v>
      </c>
      <c r="AK13" s="1">
        <f t="shared" si="0"/>
        <v>110.15114467281128</v>
      </c>
      <c r="AL13" s="1">
        <v>112.2</v>
      </c>
    </row>
    <row r="14" spans="1:38" x14ac:dyDescent="0.25">
      <c r="A14">
        <v>2003</v>
      </c>
      <c r="B14" s="2">
        <v>77.2</v>
      </c>
      <c r="C14" s="1">
        <v>5.6</v>
      </c>
      <c r="D14" s="1">
        <v>1030.2</v>
      </c>
      <c r="E14" s="1">
        <v>57.2</v>
      </c>
      <c r="F14" s="1">
        <v>482</v>
      </c>
      <c r="G14" s="1">
        <v>971.8</v>
      </c>
      <c r="H14" s="1">
        <v>343</v>
      </c>
      <c r="I14" s="1">
        <v>287.2</v>
      </c>
      <c r="J14" s="1">
        <v>144.4</v>
      </c>
      <c r="K14" s="1">
        <v>161.6</v>
      </c>
      <c r="L14" s="1">
        <v>66</v>
      </c>
      <c r="M14" s="1">
        <v>419.5</v>
      </c>
      <c r="N14" s="2">
        <v>205</v>
      </c>
      <c r="O14" s="1">
        <v>240.4</v>
      </c>
      <c r="P14" s="1">
        <v>480.5</v>
      </c>
      <c r="Q14" s="1">
        <v>397.9</v>
      </c>
      <c r="R14" s="2">
        <v>1810.2</v>
      </c>
      <c r="S14" s="1">
        <v>2064.9</v>
      </c>
      <c r="T14" s="1">
        <v>1972.4</v>
      </c>
      <c r="U14" s="1">
        <v>1839.8</v>
      </c>
      <c r="V14" s="1">
        <v>2031.9</v>
      </c>
      <c r="W14" s="1">
        <v>1718.7</v>
      </c>
      <c r="X14" s="1">
        <v>2070.8000000000002</v>
      </c>
      <c r="Y14" s="1">
        <v>1433.1</v>
      </c>
      <c r="Z14" s="1">
        <v>1879.9</v>
      </c>
      <c r="AA14" s="1">
        <v>1776.9</v>
      </c>
      <c r="AB14" s="1">
        <v>1915.4</v>
      </c>
      <c r="AC14" s="1">
        <v>1834.9</v>
      </c>
      <c r="AD14" s="2">
        <v>1849.9</v>
      </c>
      <c r="AE14" s="1">
        <v>1628.6</v>
      </c>
      <c r="AF14" s="1">
        <v>1676</v>
      </c>
      <c r="AG14" s="1">
        <v>1874.1</v>
      </c>
      <c r="AI14" s="1">
        <f t="shared" si="1"/>
        <v>5087.2999999999993</v>
      </c>
      <c r="AJ14" s="1">
        <f t="shared" si="2"/>
        <v>1831.5304857193407</v>
      </c>
      <c r="AK14" s="1">
        <f t="shared" si="0"/>
        <v>110.39588503769362</v>
      </c>
      <c r="AL14" s="1">
        <v>112.2</v>
      </c>
    </row>
    <row r="15" spans="1:38" x14ac:dyDescent="0.25">
      <c r="A15">
        <v>2004</v>
      </c>
      <c r="B15" s="2">
        <v>73.400000000000006</v>
      </c>
      <c r="C15" s="1">
        <v>5.3</v>
      </c>
      <c r="D15" s="1">
        <v>1012.7</v>
      </c>
      <c r="E15" s="1">
        <v>57</v>
      </c>
      <c r="F15" s="1">
        <v>470.8</v>
      </c>
      <c r="G15" s="1">
        <v>988.7</v>
      </c>
      <c r="H15" s="1">
        <v>345.8</v>
      </c>
      <c r="I15" s="1">
        <v>269.60000000000002</v>
      </c>
      <c r="J15" s="1">
        <v>149.6</v>
      </c>
      <c r="K15" s="1">
        <v>161.6</v>
      </c>
      <c r="L15" s="1">
        <v>66</v>
      </c>
      <c r="M15" s="1">
        <v>428.7</v>
      </c>
      <c r="N15" s="2">
        <v>201</v>
      </c>
      <c r="O15" s="1">
        <v>241.5</v>
      </c>
      <c r="P15" s="1">
        <v>502.3</v>
      </c>
      <c r="Q15" s="1">
        <v>430.5</v>
      </c>
      <c r="R15" s="2">
        <v>1813.7</v>
      </c>
      <c r="S15" s="1">
        <v>2028.9</v>
      </c>
      <c r="T15" s="1">
        <v>1999.7</v>
      </c>
      <c r="U15" s="1">
        <v>1872</v>
      </c>
      <c r="V15" s="1">
        <v>2052.6999999999998</v>
      </c>
      <c r="W15" s="1">
        <v>1720.6</v>
      </c>
      <c r="X15" s="1">
        <v>2083.6</v>
      </c>
      <c r="Y15" s="1">
        <v>1441.7</v>
      </c>
      <c r="Z15" s="1">
        <v>1880.8</v>
      </c>
      <c r="AA15" s="1">
        <v>1792.2</v>
      </c>
      <c r="AB15" s="1">
        <v>1903.6</v>
      </c>
      <c r="AC15" s="1">
        <v>1846.1</v>
      </c>
      <c r="AD15" s="2">
        <v>1845.5</v>
      </c>
      <c r="AE15" s="1">
        <v>1613.6</v>
      </c>
      <c r="AF15" s="1">
        <v>1678.7</v>
      </c>
      <c r="AG15" s="1">
        <v>1862.1</v>
      </c>
      <c r="AI15" s="1">
        <f t="shared" si="1"/>
        <v>5130.0999999999995</v>
      </c>
      <c r="AJ15" s="1">
        <f t="shared" si="2"/>
        <v>1840.4885421336817</v>
      </c>
      <c r="AK15" s="1">
        <f t="shared" si="0"/>
        <v>110.93583377116521</v>
      </c>
      <c r="AL15" s="1">
        <v>112.4</v>
      </c>
    </row>
    <row r="16" spans="1:38" x14ac:dyDescent="0.25">
      <c r="A16">
        <v>2005</v>
      </c>
      <c r="B16" s="2">
        <v>77.400000000000006</v>
      </c>
      <c r="C16" s="1">
        <v>4.9000000000000004</v>
      </c>
      <c r="D16" s="1">
        <v>999.2</v>
      </c>
      <c r="E16" s="1">
        <v>56.6</v>
      </c>
      <c r="F16" s="1">
        <v>473.7</v>
      </c>
      <c r="G16" s="1">
        <v>997.1</v>
      </c>
      <c r="H16" s="1">
        <v>360.9</v>
      </c>
      <c r="I16" s="1">
        <v>298.2</v>
      </c>
      <c r="J16" s="1">
        <v>161.1</v>
      </c>
      <c r="K16" s="1">
        <v>160.80000000000001</v>
      </c>
      <c r="L16" s="1">
        <v>67.099999999999994</v>
      </c>
      <c r="M16" s="1">
        <v>444.4</v>
      </c>
      <c r="N16" s="2">
        <v>201.1</v>
      </c>
      <c r="O16" s="1">
        <v>248</v>
      </c>
      <c r="P16" s="1">
        <v>529.20000000000005</v>
      </c>
      <c r="Q16" s="1">
        <v>387.1</v>
      </c>
      <c r="R16" s="2">
        <v>1837.2</v>
      </c>
      <c r="S16" s="1">
        <v>2043.7</v>
      </c>
      <c r="T16" s="1">
        <v>1989.8</v>
      </c>
      <c r="U16" s="1">
        <v>1922.6</v>
      </c>
      <c r="V16" s="1">
        <v>2045.7</v>
      </c>
      <c r="W16" s="1">
        <v>1711.6</v>
      </c>
      <c r="X16" s="1">
        <v>2054.1999999999998</v>
      </c>
      <c r="Y16" s="1">
        <v>1422.7</v>
      </c>
      <c r="Z16" s="1">
        <v>1950.6</v>
      </c>
      <c r="AA16" s="1">
        <v>1817.4</v>
      </c>
      <c r="AB16" s="1">
        <v>1910</v>
      </c>
      <c r="AC16" s="1">
        <v>1871.5</v>
      </c>
      <c r="AD16" s="2">
        <v>1819.1</v>
      </c>
      <c r="AE16" s="1">
        <v>1585.6</v>
      </c>
      <c r="AF16" s="1">
        <v>1660.5</v>
      </c>
      <c r="AG16" s="1">
        <v>1823.9</v>
      </c>
      <c r="AI16" s="1">
        <f t="shared" si="1"/>
        <v>5188.3</v>
      </c>
      <c r="AJ16" s="1">
        <f t="shared" si="2"/>
        <v>1829.6297611934544</v>
      </c>
      <c r="AK16" s="1">
        <f t="shared" si="0"/>
        <v>110.28131846733939</v>
      </c>
      <c r="AL16" s="1">
        <v>111.7</v>
      </c>
    </row>
    <row r="17" spans="1:38" x14ac:dyDescent="0.25">
      <c r="A17">
        <v>2006</v>
      </c>
      <c r="B17" s="2">
        <v>84.9</v>
      </c>
      <c r="C17" s="1">
        <v>4.7</v>
      </c>
      <c r="D17" s="1">
        <v>1022.7</v>
      </c>
      <c r="E17" s="1">
        <v>56.3</v>
      </c>
      <c r="F17" s="1">
        <v>465.7</v>
      </c>
      <c r="G17" s="1">
        <v>1000</v>
      </c>
      <c r="H17" s="1">
        <v>366.8</v>
      </c>
      <c r="I17" s="1">
        <v>297.10000000000002</v>
      </c>
      <c r="J17" s="1">
        <v>161.9</v>
      </c>
      <c r="K17" s="1">
        <v>157.4</v>
      </c>
      <c r="L17" s="1">
        <v>70.8</v>
      </c>
      <c r="M17" s="1">
        <v>481.5</v>
      </c>
      <c r="N17" s="2">
        <v>201</v>
      </c>
      <c r="O17" s="1">
        <v>249.1</v>
      </c>
      <c r="P17" s="1">
        <v>552</v>
      </c>
      <c r="Q17" s="1">
        <v>398.6</v>
      </c>
      <c r="R17" s="2">
        <v>1844.5</v>
      </c>
      <c r="S17" s="1">
        <v>2025.9</v>
      </c>
      <c r="T17" s="1">
        <v>2005.8</v>
      </c>
      <c r="U17" s="1">
        <v>1939.3</v>
      </c>
      <c r="V17" s="1">
        <v>2052.6</v>
      </c>
      <c r="W17" s="1">
        <v>1720.7</v>
      </c>
      <c r="X17" s="1">
        <v>2068.5</v>
      </c>
      <c r="Y17" s="1">
        <v>1385.3</v>
      </c>
      <c r="Z17" s="1">
        <v>1960.8</v>
      </c>
      <c r="AA17" s="1">
        <v>1848.6</v>
      </c>
      <c r="AB17" s="1">
        <v>1886.8</v>
      </c>
      <c r="AC17" s="1">
        <v>1868.3</v>
      </c>
      <c r="AD17" s="2">
        <v>1825.8</v>
      </c>
      <c r="AE17" s="1">
        <v>1595.2</v>
      </c>
      <c r="AF17" s="1">
        <v>1669.6</v>
      </c>
      <c r="AG17" s="1">
        <v>1823.5</v>
      </c>
      <c r="AI17" s="1">
        <f t="shared" si="1"/>
        <v>5284.6000000000013</v>
      </c>
      <c r="AJ17" s="1">
        <f t="shared" si="2"/>
        <v>1836.3463459864508</v>
      </c>
      <c r="AK17" s="1">
        <f t="shared" si="0"/>
        <v>110.68616202764865</v>
      </c>
      <c r="AL17" s="1">
        <v>112.2</v>
      </c>
    </row>
    <row r="18" spans="1:38" x14ac:dyDescent="0.25">
      <c r="A18">
        <v>2007</v>
      </c>
      <c r="B18" s="2">
        <v>85.2</v>
      </c>
      <c r="C18" s="1">
        <v>4.7</v>
      </c>
      <c r="D18" s="1">
        <v>1035.0999999999999</v>
      </c>
      <c r="E18" s="1">
        <v>57.3</v>
      </c>
      <c r="F18" s="1">
        <v>457</v>
      </c>
      <c r="G18" s="1">
        <v>1007.6</v>
      </c>
      <c r="H18" s="1">
        <v>368.1</v>
      </c>
      <c r="I18" s="1">
        <v>309.39999999999998</v>
      </c>
      <c r="J18" s="1">
        <v>169.2</v>
      </c>
      <c r="K18" s="1">
        <v>156.6</v>
      </c>
      <c r="L18" s="1">
        <v>74.400000000000006</v>
      </c>
      <c r="M18" s="1">
        <v>505.7</v>
      </c>
      <c r="N18" s="2">
        <v>196.8</v>
      </c>
      <c r="O18" s="1">
        <v>248.1</v>
      </c>
      <c r="P18" s="1">
        <v>565.79999999999995</v>
      </c>
      <c r="Q18" s="1">
        <v>402.5</v>
      </c>
      <c r="R18" s="2">
        <v>1834.4</v>
      </c>
      <c r="S18" s="1">
        <v>2055.5</v>
      </c>
      <c r="T18" s="1">
        <v>1995.4</v>
      </c>
      <c r="U18" s="1">
        <v>1929.5</v>
      </c>
      <c r="V18" s="1">
        <v>2053.8000000000002</v>
      </c>
      <c r="W18" s="1">
        <v>1704.8</v>
      </c>
      <c r="X18" s="1">
        <v>2080.3000000000002</v>
      </c>
      <c r="Y18" s="1">
        <v>1365.3</v>
      </c>
      <c r="Z18" s="1">
        <v>1949</v>
      </c>
      <c r="AA18" s="1">
        <v>1843.9</v>
      </c>
      <c r="AB18" s="1">
        <v>1895.8</v>
      </c>
      <c r="AC18" s="1">
        <v>1839.3</v>
      </c>
      <c r="AD18" s="2">
        <v>1846.5</v>
      </c>
      <c r="AE18" s="1">
        <v>1579</v>
      </c>
      <c r="AF18" s="1">
        <v>1675.9</v>
      </c>
      <c r="AG18" s="1">
        <v>1797.1</v>
      </c>
      <c r="AI18" s="1">
        <f t="shared" si="1"/>
        <v>5361.5</v>
      </c>
      <c r="AJ18" s="1">
        <f t="shared" si="2"/>
        <v>1824.7130485871492</v>
      </c>
      <c r="AK18" s="1">
        <f t="shared" si="0"/>
        <v>109.98496258143892</v>
      </c>
      <c r="AL18" s="1">
        <v>111.4</v>
      </c>
    </row>
    <row r="19" spans="1:38" x14ac:dyDescent="0.25">
      <c r="A19">
        <v>2008</v>
      </c>
      <c r="B19" s="2">
        <v>84.7</v>
      </c>
      <c r="C19" s="1">
        <v>4.5999999999999996</v>
      </c>
      <c r="D19" s="1">
        <v>1024.5</v>
      </c>
      <c r="E19" s="1">
        <v>58.3</v>
      </c>
      <c r="F19" s="1">
        <v>440.2</v>
      </c>
      <c r="G19" s="1">
        <v>1004.3</v>
      </c>
      <c r="H19" s="1">
        <v>367.3</v>
      </c>
      <c r="I19" s="1">
        <v>310</v>
      </c>
      <c r="J19" s="1">
        <v>161.5</v>
      </c>
      <c r="K19" s="1">
        <v>164.1</v>
      </c>
      <c r="L19" s="1">
        <v>71.8</v>
      </c>
      <c r="M19" s="1">
        <v>533.20000000000005</v>
      </c>
      <c r="N19" s="2">
        <v>194.5</v>
      </c>
      <c r="O19" s="1">
        <v>246</v>
      </c>
      <c r="P19" s="1">
        <v>585.5</v>
      </c>
      <c r="Q19" s="1">
        <v>414.7</v>
      </c>
      <c r="R19" s="2">
        <v>1833.8</v>
      </c>
      <c r="S19" s="1">
        <v>2065.1999999999998</v>
      </c>
      <c r="T19" s="1">
        <v>1966.6</v>
      </c>
      <c r="U19" s="1">
        <v>1917.5</v>
      </c>
      <c r="V19" s="1">
        <v>2048.8000000000002</v>
      </c>
      <c r="W19" s="1">
        <v>1699.4</v>
      </c>
      <c r="X19" s="1">
        <v>2051.3000000000002</v>
      </c>
      <c r="Y19" s="1">
        <v>1334.5</v>
      </c>
      <c r="Z19" s="1">
        <v>1949</v>
      </c>
      <c r="AA19" s="1">
        <v>1849.4</v>
      </c>
      <c r="AB19" s="1">
        <v>1902.3</v>
      </c>
      <c r="AC19" s="1">
        <v>1798.5</v>
      </c>
      <c r="AD19" s="2">
        <v>1816.4</v>
      </c>
      <c r="AE19" s="1">
        <v>1559.3</v>
      </c>
      <c r="AF19" s="1">
        <v>1664.6</v>
      </c>
      <c r="AG19" s="1">
        <v>1756.8</v>
      </c>
      <c r="AI19" s="1">
        <f t="shared" si="1"/>
        <v>5386</v>
      </c>
      <c r="AJ19" s="1">
        <f t="shared" si="2"/>
        <v>1803.2584441143706</v>
      </c>
      <c r="AK19" s="1">
        <f t="shared" si="0"/>
        <v>108.69178178681196</v>
      </c>
      <c r="AL19" s="1">
        <v>110.2</v>
      </c>
    </row>
    <row r="20" spans="1:38" x14ac:dyDescent="0.25">
      <c r="A20">
        <v>2009</v>
      </c>
      <c r="B20" s="2">
        <v>86.1</v>
      </c>
      <c r="C20" s="1">
        <v>4.4000000000000004</v>
      </c>
      <c r="D20" s="1">
        <v>968</v>
      </c>
      <c r="E20" s="1">
        <v>59.5</v>
      </c>
      <c r="F20" s="1">
        <v>421.8</v>
      </c>
      <c r="G20" s="1">
        <v>998</v>
      </c>
      <c r="H20" s="1">
        <v>372.1</v>
      </c>
      <c r="I20" s="1">
        <v>317.89999999999998</v>
      </c>
      <c r="J20" s="1">
        <v>159.30000000000001</v>
      </c>
      <c r="K20" s="1">
        <v>164.2</v>
      </c>
      <c r="L20" s="1">
        <v>69.2</v>
      </c>
      <c r="M20" s="1">
        <v>531.1</v>
      </c>
      <c r="N20" s="2">
        <v>197.7</v>
      </c>
      <c r="O20" s="1">
        <v>246.2</v>
      </c>
      <c r="P20" s="1">
        <v>609.5</v>
      </c>
      <c r="Q20" s="1">
        <v>420.6</v>
      </c>
      <c r="R20" s="2">
        <v>1800.1</v>
      </c>
      <c r="S20" s="1">
        <v>1915.4</v>
      </c>
      <c r="T20" s="1">
        <v>1847.2</v>
      </c>
      <c r="U20" s="1">
        <v>1904.8</v>
      </c>
      <c r="V20" s="1">
        <v>2013.9</v>
      </c>
      <c r="W20" s="1">
        <v>1673.2</v>
      </c>
      <c r="X20" s="1">
        <v>2033.2</v>
      </c>
      <c r="Y20" s="1">
        <v>1284.9000000000001</v>
      </c>
      <c r="Z20" s="1">
        <v>1911.2</v>
      </c>
      <c r="AA20" s="1">
        <v>1820.3</v>
      </c>
      <c r="AB20" s="1">
        <v>1870.4</v>
      </c>
      <c r="AC20" s="1">
        <v>1775.1</v>
      </c>
      <c r="AD20" s="2">
        <v>1785.5</v>
      </c>
      <c r="AE20" s="1">
        <v>1509.1</v>
      </c>
      <c r="AF20" s="1">
        <v>1649</v>
      </c>
      <c r="AG20" s="1">
        <v>1719</v>
      </c>
      <c r="AI20" s="1">
        <f t="shared" si="1"/>
        <v>5341.8</v>
      </c>
      <c r="AJ20" s="1">
        <f t="shared" si="2"/>
        <v>1753.967771163278</v>
      </c>
      <c r="AK20" s="1">
        <f t="shared" si="0"/>
        <v>105.72077611315964</v>
      </c>
      <c r="AL20" s="1">
        <v>107</v>
      </c>
    </row>
    <row r="21" spans="1:38" x14ac:dyDescent="0.25">
      <c r="A21">
        <v>2010</v>
      </c>
      <c r="B21" s="2">
        <v>83.4</v>
      </c>
      <c r="C21" s="1">
        <v>4.0999999999999996</v>
      </c>
      <c r="D21" s="1">
        <v>953.7</v>
      </c>
      <c r="E21" s="1">
        <v>59.2</v>
      </c>
      <c r="F21" s="1">
        <v>399.9</v>
      </c>
      <c r="G21" s="1">
        <v>1006.1</v>
      </c>
      <c r="H21" s="1">
        <v>372.8</v>
      </c>
      <c r="I21" s="1">
        <v>327</v>
      </c>
      <c r="J21" s="1">
        <v>157.9</v>
      </c>
      <c r="K21" s="1">
        <v>159.80000000000001</v>
      </c>
      <c r="L21" s="1">
        <v>68.400000000000006</v>
      </c>
      <c r="M21" s="1">
        <v>550.1</v>
      </c>
      <c r="N21" s="2">
        <v>196.3</v>
      </c>
      <c r="O21" s="1">
        <v>245.7</v>
      </c>
      <c r="P21" s="1">
        <v>643.1</v>
      </c>
      <c r="Q21" s="1">
        <v>419.5</v>
      </c>
      <c r="R21" s="2">
        <v>1785</v>
      </c>
      <c r="S21" s="1">
        <v>1979</v>
      </c>
      <c r="T21" s="1">
        <v>1942.6</v>
      </c>
      <c r="U21" s="1">
        <v>1910.8</v>
      </c>
      <c r="V21" s="1">
        <v>2038.9</v>
      </c>
      <c r="W21" s="1">
        <v>1680.6</v>
      </c>
      <c r="X21" s="1">
        <v>2047.5</v>
      </c>
      <c r="Y21" s="1">
        <v>1287</v>
      </c>
      <c r="Z21" s="1">
        <v>1941.4</v>
      </c>
      <c r="AA21" s="1">
        <v>1820</v>
      </c>
      <c r="AB21" s="1">
        <v>1862.5</v>
      </c>
      <c r="AC21" s="1">
        <v>1796.1</v>
      </c>
      <c r="AD21" s="2">
        <v>1786.6</v>
      </c>
      <c r="AE21" s="1">
        <v>1519.5</v>
      </c>
      <c r="AF21" s="1">
        <v>1646.2</v>
      </c>
      <c r="AG21" s="1">
        <v>1688.9</v>
      </c>
      <c r="AI21" s="1">
        <f t="shared" si="1"/>
        <v>5367.3000000000011</v>
      </c>
      <c r="AJ21" s="1">
        <f t="shared" si="2"/>
        <v>1773.251772772157</v>
      </c>
      <c r="AK21" s="1">
        <f t="shared" si="0"/>
        <v>106.88312336387678</v>
      </c>
      <c r="AL21" s="1">
        <v>108.6</v>
      </c>
    </row>
    <row r="22" spans="1:38" x14ac:dyDescent="0.25">
      <c r="A22">
        <v>2011</v>
      </c>
      <c r="B22" s="2">
        <v>83.9</v>
      </c>
      <c r="C22" s="1">
        <v>4</v>
      </c>
      <c r="D22" s="1">
        <v>951.9</v>
      </c>
      <c r="E22" s="1">
        <v>58.9</v>
      </c>
      <c r="F22" s="1">
        <v>396.1</v>
      </c>
      <c r="G22" s="1">
        <v>995.5</v>
      </c>
      <c r="H22" s="1">
        <v>370.8</v>
      </c>
      <c r="I22" s="1">
        <v>324.5</v>
      </c>
      <c r="J22" s="1">
        <v>152.69999999999999</v>
      </c>
      <c r="K22" s="1">
        <v>159</v>
      </c>
      <c r="L22" s="1">
        <v>70.599999999999994</v>
      </c>
      <c r="M22" s="1">
        <v>553</v>
      </c>
      <c r="N22" s="2">
        <v>193.4</v>
      </c>
      <c r="O22" s="1">
        <v>246.6</v>
      </c>
      <c r="P22" s="1">
        <v>666.7</v>
      </c>
      <c r="Q22" s="1">
        <v>420.2</v>
      </c>
      <c r="R22" s="2">
        <v>1785.8</v>
      </c>
      <c r="S22" s="1">
        <v>1994.3</v>
      </c>
      <c r="T22" s="1">
        <v>1942</v>
      </c>
      <c r="U22" s="1">
        <v>1931.6</v>
      </c>
      <c r="V22" s="1">
        <v>2038.8</v>
      </c>
      <c r="W22" s="1">
        <v>1666.4</v>
      </c>
      <c r="X22" s="1">
        <v>2045.7</v>
      </c>
      <c r="Y22" s="1">
        <v>1287.5</v>
      </c>
      <c r="Z22" s="1">
        <v>1943.4</v>
      </c>
      <c r="AA22" s="1">
        <v>1812.5</v>
      </c>
      <c r="AB22" s="1">
        <v>1864</v>
      </c>
      <c r="AC22" s="1">
        <v>1774.8</v>
      </c>
      <c r="AD22" s="2">
        <v>1799.5</v>
      </c>
      <c r="AE22" s="1">
        <v>1514.3</v>
      </c>
      <c r="AF22" s="1">
        <v>1647.5</v>
      </c>
      <c r="AG22" s="1">
        <v>1689.1</v>
      </c>
      <c r="AI22" s="1">
        <f t="shared" si="1"/>
        <v>5370.5</v>
      </c>
      <c r="AJ22" s="1">
        <f t="shared" si="2"/>
        <v>1767.5690084722091</v>
      </c>
      <c r="AK22" s="1">
        <f t="shared" si="0"/>
        <v>106.5405935511082</v>
      </c>
      <c r="AL22" s="1">
        <v>108.3</v>
      </c>
    </row>
    <row r="23" spans="1:38" x14ac:dyDescent="0.25">
      <c r="A23">
        <v>2012</v>
      </c>
      <c r="B23" s="2">
        <v>82.4</v>
      </c>
      <c r="C23" s="1">
        <v>3.8</v>
      </c>
      <c r="D23" s="1">
        <v>948.8</v>
      </c>
      <c r="E23" s="1">
        <v>58.6</v>
      </c>
      <c r="F23" s="1">
        <v>397.9</v>
      </c>
      <c r="G23" s="1">
        <v>969.4</v>
      </c>
      <c r="H23" s="1">
        <v>363.4</v>
      </c>
      <c r="I23" s="1">
        <v>320.10000000000002</v>
      </c>
      <c r="J23" s="1">
        <v>150.69999999999999</v>
      </c>
      <c r="K23" s="1">
        <v>161.4</v>
      </c>
      <c r="L23" s="1">
        <v>69.099999999999994</v>
      </c>
      <c r="M23" s="1">
        <v>543.20000000000005</v>
      </c>
      <c r="N23" s="2">
        <v>191.7</v>
      </c>
      <c r="O23" s="1">
        <v>248.3</v>
      </c>
      <c r="P23" s="1">
        <v>697.5</v>
      </c>
      <c r="Q23" s="1">
        <v>423</v>
      </c>
      <c r="R23" s="2">
        <v>1779.6</v>
      </c>
      <c r="S23" s="1">
        <v>2005.4</v>
      </c>
      <c r="T23" s="1">
        <v>1961.6</v>
      </c>
      <c r="U23" s="1">
        <v>1924.5</v>
      </c>
      <c r="V23" s="1">
        <v>2048.1999999999998</v>
      </c>
      <c r="W23" s="1">
        <v>1670.8</v>
      </c>
      <c r="X23" s="1">
        <v>2064.3000000000002</v>
      </c>
      <c r="Y23" s="1">
        <v>1283.9000000000001</v>
      </c>
      <c r="Z23" s="1">
        <v>1976</v>
      </c>
      <c r="AA23" s="1">
        <v>1825.8</v>
      </c>
      <c r="AB23" s="1">
        <v>1882</v>
      </c>
      <c r="AC23" s="1">
        <v>1793.2</v>
      </c>
      <c r="AD23" s="2">
        <v>1802.8</v>
      </c>
      <c r="AE23" s="1">
        <v>1544.6</v>
      </c>
      <c r="AF23" s="1">
        <v>1652.1</v>
      </c>
      <c r="AG23" s="1">
        <v>1711.3</v>
      </c>
      <c r="AI23" s="1">
        <f t="shared" si="1"/>
        <v>5355.2</v>
      </c>
      <c r="AJ23" s="1">
        <f t="shared" si="2"/>
        <v>1780.26613385121</v>
      </c>
      <c r="AK23" s="1">
        <f t="shared" si="0"/>
        <v>107.30591545242444</v>
      </c>
      <c r="AL23" s="1">
        <v>108.9</v>
      </c>
    </row>
    <row r="24" spans="1:38" x14ac:dyDescent="0.25">
      <c r="A24">
        <v>2013</v>
      </c>
      <c r="B24" s="2">
        <v>81.599999999999994</v>
      </c>
      <c r="C24" s="1">
        <v>3.6</v>
      </c>
      <c r="D24" s="1">
        <v>954.6</v>
      </c>
      <c r="E24" s="1">
        <v>58.3</v>
      </c>
      <c r="F24" s="1">
        <v>386.4</v>
      </c>
      <c r="G24" s="1">
        <v>958.4</v>
      </c>
      <c r="H24" s="1">
        <v>366.7</v>
      </c>
      <c r="I24" s="1">
        <v>324.3</v>
      </c>
      <c r="J24" s="1">
        <v>152.19999999999999</v>
      </c>
      <c r="K24" s="1">
        <v>160.5</v>
      </c>
      <c r="L24" s="1">
        <v>66.900000000000006</v>
      </c>
      <c r="M24" s="1">
        <v>569</v>
      </c>
      <c r="N24" s="2">
        <v>193.1</v>
      </c>
      <c r="O24" s="1">
        <v>248.7</v>
      </c>
      <c r="P24" s="1">
        <v>717.1</v>
      </c>
      <c r="Q24" s="1">
        <v>427.4</v>
      </c>
      <c r="R24" s="2">
        <v>1726.3</v>
      </c>
      <c r="S24" s="1">
        <v>1990.3</v>
      </c>
      <c r="T24" s="1">
        <v>1945.5</v>
      </c>
      <c r="U24" s="1">
        <v>1906.5</v>
      </c>
      <c r="V24" s="1">
        <v>2041.8</v>
      </c>
      <c r="W24" s="1">
        <v>1658.7</v>
      </c>
      <c r="X24" s="1">
        <v>2048.1</v>
      </c>
      <c r="Y24" s="1">
        <v>1270.0999999999999</v>
      </c>
      <c r="Z24" s="1">
        <v>1950</v>
      </c>
      <c r="AA24" s="1">
        <v>1798.2</v>
      </c>
      <c r="AB24" s="1">
        <v>1850</v>
      </c>
      <c r="AC24" s="1">
        <v>1787.8</v>
      </c>
      <c r="AD24" s="2">
        <v>1761</v>
      </c>
      <c r="AE24" s="1">
        <v>1494.6</v>
      </c>
      <c r="AF24" s="1">
        <v>1628.8</v>
      </c>
      <c r="AG24" s="1">
        <v>1686.4</v>
      </c>
      <c r="AI24" s="1">
        <f t="shared" si="1"/>
        <v>5394.1</v>
      </c>
      <c r="AJ24" s="1">
        <f t="shared" si="2"/>
        <v>1761.9215049776606</v>
      </c>
      <c r="AK24" s="1">
        <f t="shared" si="0"/>
        <v>106.20018909079735</v>
      </c>
      <c r="AL24" s="1">
        <v>107.7</v>
      </c>
    </row>
    <row r="25" spans="1:38" x14ac:dyDescent="0.25">
      <c r="A25">
        <v>2014</v>
      </c>
      <c r="B25" s="2">
        <v>84.3</v>
      </c>
      <c r="C25" s="1">
        <v>3.4</v>
      </c>
      <c r="D25" s="1">
        <v>966.8</v>
      </c>
      <c r="E25" s="1">
        <v>58</v>
      </c>
      <c r="F25" s="1">
        <v>387.9</v>
      </c>
      <c r="G25" s="1">
        <v>949.7</v>
      </c>
      <c r="H25" s="1">
        <v>364.6</v>
      </c>
      <c r="I25" s="1">
        <v>327.7</v>
      </c>
      <c r="J25" s="1">
        <v>161.5</v>
      </c>
      <c r="K25" s="1">
        <v>150.9</v>
      </c>
      <c r="L25" s="1">
        <v>70.2</v>
      </c>
      <c r="M25" s="1">
        <v>567.79999999999995</v>
      </c>
      <c r="N25" s="2">
        <v>197.1</v>
      </c>
      <c r="O25" s="1">
        <v>248.7</v>
      </c>
      <c r="P25" s="1">
        <v>739.5</v>
      </c>
      <c r="Q25" s="1">
        <v>423.8</v>
      </c>
      <c r="R25" s="2">
        <v>1712.1</v>
      </c>
      <c r="S25" s="1">
        <v>2018.5</v>
      </c>
      <c r="T25" s="1">
        <v>1952</v>
      </c>
      <c r="U25" s="1">
        <v>1895.1</v>
      </c>
      <c r="V25" s="1">
        <v>2046.8</v>
      </c>
      <c r="W25" s="1">
        <v>1647.1</v>
      </c>
      <c r="X25" s="1">
        <v>2040.4</v>
      </c>
      <c r="Y25" s="1">
        <v>1260.8</v>
      </c>
      <c r="Z25" s="1">
        <v>1951.9</v>
      </c>
      <c r="AA25" s="1">
        <v>1781.1</v>
      </c>
      <c r="AB25" s="1">
        <v>1861.9</v>
      </c>
      <c r="AC25" s="1">
        <v>1783.8</v>
      </c>
      <c r="AD25" s="2">
        <v>1740.6</v>
      </c>
      <c r="AE25" s="1">
        <v>1490.9</v>
      </c>
      <c r="AF25" s="1">
        <v>1625.2</v>
      </c>
      <c r="AG25" s="1">
        <v>1675.2</v>
      </c>
      <c r="AI25" s="1">
        <f t="shared" si="1"/>
        <v>5420.5</v>
      </c>
      <c r="AJ25" s="1">
        <f t="shared" si="2"/>
        <v>1758.0278092426895</v>
      </c>
      <c r="AK25" s="1">
        <f t="shared" si="0"/>
        <v>105.96549576186771</v>
      </c>
      <c r="AL25" s="1">
        <v>107.3</v>
      </c>
    </row>
    <row r="26" spans="1:38" x14ac:dyDescent="0.25">
      <c r="A26">
        <v>2015</v>
      </c>
      <c r="B26" s="2">
        <v>85.2</v>
      </c>
      <c r="C26" s="1">
        <v>3.5</v>
      </c>
      <c r="D26" s="1">
        <v>970.7</v>
      </c>
      <c r="E26" s="1">
        <v>58.2</v>
      </c>
      <c r="F26" s="1">
        <v>385</v>
      </c>
      <c r="G26" s="1">
        <v>937.9</v>
      </c>
      <c r="H26" s="1">
        <v>362</v>
      </c>
      <c r="I26" s="1">
        <v>327.9</v>
      </c>
      <c r="J26" s="1">
        <v>165.8</v>
      </c>
      <c r="K26" s="1">
        <v>151.1</v>
      </c>
      <c r="L26" s="1">
        <v>74.8</v>
      </c>
      <c r="M26" s="1">
        <v>578.6</v>
      </c>
      <c r="N26" s="2">
        <v>194.6</v>
      </c>
      <c r="O26" s="1">
        <v>251.9</v>
      </c>
      <c r="P26" s="1">
        <v>768.8</v>
      </c>
      <c r="Q26" s="1">
        <v>418</v>
      </c>
      <c r="R26" s="2">
        <v>1710.2</v>
      </c>
      <c r="S26" s="1">
        <v>2027.8</v>
      </c>
      <c r="T26" s="1">
        <v>1958.8</v>
      </c>
      <c r="U26" s="1">
        <v>1870.8</v>
      </c>
      <c r="V26" s="1">
        <v>2040.9</v>
      </c>
      <c r="W26" s="1">
        <v>1634.4</v>
      </c>
      <c r="X26" s="1">
        <v>2022.5</v>
      </c>
      <c r="Y26" s="1">
        <v>1247</v>
      </c>
      <c r="Z26" s="1">
        <v>1940.3</v>
      </c>
      <c r="AA26" s="1">
        <v>1782</v>
      </c>
      <c r="AB26" s="1">
        <v>1861.7</v>
      </c>
      <c r="AC26" s="1">
        <v>1764.6</v>
      </c>
      <c r="AD26" s="2">
        <v>1767.6</v>
      </c>
      <c r="AE26" s="1">
        <v>1492</v>
      </c>
      <c r="AF26" s="1">
        <v>1626.4</v>
      </c>
      <c r="AG26" s="1">
        <v>1665.9</v>
      </c>
      <c r="AI26" s="1">
        <f t="shared" si="1"/>
        <v>5454.2000000000007</v>
      </c>
      <c r="AJ26" s="1">
        <f t="shared" si="2"/>
        <v>1751.098888929632</v>
      </c>
      <c r="AK26" s="1">
        <f t="shared" si="0"/>
        <v>105.54785363345115</v>
      </c>
      <c r="AL26" s="1">
        <v>106.9</v>
      </c>
    </row>
    <row r="27" spans="1:38" x14ac:dyDescent="0.25">
      <c r="A27">
        <v>2016</v>
      </c>
      <c r="B27" s="2">
        <v>85.3</v>
      </c>
      <c r="C27" s="1">
        <v>3.5</v>
      </c>
      <c r="D27" s="1">
        <v>966</v>
      </c>
      <c r="E27" s="1">
        <v>58.4</v>
      </c>
      <c r="F27" s="1">
        <v>382.5</v>
      </c>
      <c r="G27" s="1">
        <v>946.2</v>
      </c>
      <c r="H27" s="1">
        <v>366.5</v>
      </c>
      <c r="I27" s="1">
        <v>334.7</v>
      </c>
      <c r="J27" s="1">
        <v>165.5</v>
      </c>
      <c r="K27" s="1">
        <v>156.1</v>
      </c>
      <c r="L27" s="1">
        <v>76.599999999999994</v>
      </c>
      <c r="M27" s="1">
        <v>600</v>
      </c>
      <c r="N27" s="2">
        <v>194.4</v>
      </c>
      <c r="O27" s="1">
        <v>255.9</v>
      </c>
      <c r="P27" s="1">
        <v>797.9</v>
      </c>
      <c r="Q27" s="1">
        <v>422.7</v>
      </c>
      <c r="R27" s="2">
        <v>1672.2</v>
      </c>
      <c r="S27" s="1">
        <v>2021.9</v>
      </c>
      <c r="T27" s="1">
        <v>1958.4</v>
      </c>
      <c r="U27" s="1">
        <v>1908.8</v>
      </c>
      <c r="V27" s="1">
        <v>2042.4</v>
      </c>
      <c r="W27" s="1">
        <v>1625.7</v>
      </c>
      <c r="X27" s="1">
        <v>2009.3</v>
      </c>
      <c r="Y27" s="1">
        <v>1229.4000000000001</v>
      </c>
      <c r="Z27" s="1">
        <v>1915.6</v>
      </c>
      <c r="AA27" s="1">
        <v>1786.3</v>
      </c>
      <c r="AB27" s="1">
        <v>1858.2</v>
      </c>
      <c r="AC27" s="1">
        <v>1763.8</v>
      </c>
      <c r="AD27" s="2">
        <v>1737</v>
      </c>
      <c r="AE27" s="1">
        <v>1497.5</v>
      </c>
      <c r="AF27" s="1">
        <v>1624.6</v>
      </c>
      <c r="AG27" s="1">
        <v>1640.7</v>
      </c>
      <c r="AI27" s="1">
        <f t="shared" si="1"/>
        <v>5532.4999999999991</v>
      </c>
      <c r="AJ27" s="1">
        <f t="shared" si="2"/>
        <v>1743.7329905106192</v>
      </c>
      <c r="AK27" s="1">
        <f t="shared" si="0"/>
        <v>105.10387255783979</v>
      </c>
      <c r="AL27" s="1">
        <v>106.3</v>
      </c>
    </row>
    <row r="28" spans="1:38" x14ac:dyDescent="0.25">
      <c r="A28">
        <v>2017</v>
      </c>
      <c r="B28" s="2">
        <v>87.9</v>
      </c>
      <c r="C28" s="1">
        <v>3.5</v>
      </c>
      <c r="D28" s="1">
        <v>969.6</v>
      </c>
      <c r="E28" s="1">
        <v>58.7</v>
      </c>
      <c r="F28" s="1">
        <v>387</v>
      </c>
      <c r="G28" s="1">
        <v>959</v>
      </c>
      <c r="H28" s="1">
        <v>370.8</v>
      </c>
      <c r="I28" s="1">
        <v>334.4</v>
      </c>
      <c r="J28" s="1">
        <v>173</v>
      </c>
      <c r="K28" s="1">
        <v>156.5</v>
      </c>
      <c r="L28" s="1">
        <v>78.099999999999994</v>
      </c>
      <c r="M28" s="1">
        <v>616.5</v>
      </c>
      <c r="N28" s="2">
        <v>196.4</v>
      </c>
      <c r="O28" s="1">
        <v>258</v>
      </c>
      <c r="P28" s="1">
        <v>807.2</v>
      </c>
      <c r="Q28" s="1">
        <v>419.3</v>
      </c>
      <c r="R28" s="2">
        <v>1672.7</v>
      </c>
      <c r="S28" s="1">
        <v>2053.1999999999998</v>
      </c>
      <c r="T28" s="1">
        <v>1970.8</v>
      </c>
      <c r="U28" s="1">
        <v>1920.3</v>
      </c>
      <c r="V28" s="1">
        <v>2048.8000000000002</v>
      </c>
      <c r="W28" s="1">
        <v>1613.4</v>
      </c>
      <c r="X28" s="1">
        <v>2025.4</v>
      </c>
      <c r="Y28" s="1">
        <v>1205.0999999999999</v>
      </c>
      <c r="Z28" s="1">
        <v>1905.4</v>
      </c>
      <c r="AA28" s="1">
        <v>1787.7</v>
      </c>
      <c r="AB28" s="1">
        <v>1851.2</v>
      </c>
      <c r="AC28" s="1">
        <v>1758.2</v>
      </c>
      <c r="AD28" s="2">
        <v>1748</v>
      </c>
      <c r="AE28" s="1">
        <v>1528.4</v>
      </c>
      <c r="AF28" s="1">
        <v>1626</v>
      </c>
      <c r="AG28" s="1">
        <v>1638.2</v>
      </c>
      <c r="AI28" s="1">
        <f t="shared" si="1"/>
        <v>5591.6</v>
      </c>
      <c r="AJ28" s="1">
        <f t="shared" si="2"/>
        <v>1744.8646863151869</v>
      </c>
      <c r="AK28" s="1">
        <f t="shared" si="0"/>
        <v>105.17208576035692</v>
      </c>
      <c r="AL28" s="1">
        <v>106.1</v>
      </c>
    </row>
    <row r="29" spans="1:38" x14ac:dyDescent="0.25">
      <c r="A29">
        <v>2018</v>
      </c>
      <c r="B29" s="2">
        <v>90.1</v>
      </c>
      <c r="C29" s="1">
        <v>3.5</v>
      </c>
      <c r="D29" s="1">
        <v>977.8</v>
      </c>
      <c r="E29" s="1">
        <v>58.9</v>
      </c>
      <c r="F29" s="1">
        <v>390.6</v>
      </c>
      <c r="G29" s="1">
        <v>967.7</v>
      </c>
      <c r="H29" s="1">
        <v>377.9</v>
      </c>
      <c r="I29" s="1">
        <v>352.7</v>
      </c>
      <c r="J29" s="1">
        <v>183.1</v>
      </c>
      <c r="K29" s="1">
        <v>151.19999999999999</v>
      </c>
      <c r="L29" s="1">
        <v>83.3</v>
      </c>
      <c r="M29" s="1">
        <v>641.4</v>
      </c>
      <c r="N29" s="2">
        <v>196.4</v>
      </c>
      <c r="O29" s="1">
        <v>258.60000000000002</v>
      </c>
      <c r="P29" s="1">
        <v>827.8</v>
      </c>
      <c r="Q29" s="1">
        <v>428.5</v>
      </c>
      <c r="R29" s="2">
        <v>1653.9</v>
      </c>
      <c r="S29" s="1">
        <v>1956.3</v>
      </c>
      <c r="T29" s="1">
        <v>1958.2</v>
      </c>
      <c r="U29" s="1">
        <v>1879.4</v>
      </c>
      <c r="V29" s="1">
        <v>2025.2</v>
      </c>
      <c r="W29" s="1">
        <v>1599.4</v>
      </c>
      <c r="X29" s="1">
        <v>2020.2</v>
      </c>
      <c r="Y29" s="1">
        <v>1184.9000000000001</v>
      </c>
      <c r="Z29" s="1">
        <v>1875.5</v>
      </c>
      <c r="AA29" s="1">
        <v>1773</v>
      </c>
      <c r="AB29" s="1">
        <v>1804.2</v>
      </c>
      <c r="AC29" s="1">
        <v>1737.7</v>
      </c>
      <c r="AD29" s="2">
        <v>1743.6</v>
      </c>
      <c r="AE29" s="1">
        <v>1522.3</v>
      </c>
      <c r="AF29" s="1">
        <v>1614.1</v>
      </c>
      <c r="AG29" s="1">
        <v>1615.9</v>
      </c>
      <c r="AI29" s="1">
        <f t="shared" si="1"/>
        <v>5703</v>
      </c>
      <c r="AJ29" s="1">
        <f t="shared" si="2"/>
        <v>1727.3305593547254</v>
      </c>
      <c r="AK29" s="1">
        <f t="shared" si="0"/>
        <v>104.11521257191903</v>
      </c>
      <c r="AL29" s="1">
        <v>105.2</v>
      </c>
    </row>
    <row r="30" spans="1:38" x14ac:dyDescent="0.25">
      <c r="A30">
        <v>2019</v>
      </c>
      <c r="B30" s="2">
        <v>91.7</v>
      </c>
      <c r="C30" s="1">
        <v>3.1</v>
      </c>
      <c r="D30" s="1">
        <v>977.3</v>
      </c>
      <c r="E30" s="1">
        <v>59.1</v>
      </c>
      <c r="F30" s="1">
        <v>392</v>
      </c>
      <c r="G30" s="1">
        <v>963.7</v>
      </c>
      <c r="H30" s="1">
        <v>383.8</v>
      </c>
      <c r="I30" s="1">
        <v>353.5</v>
      </c>
      <c r="J30" s="1">
        <v>193</v>
      </c>
      <c r="K30" s="1">
        <v>150.30000000000001</v>
      </c>
      <c r="L30" s="1">
        <v>83</v>
      </c>
      <c r="M30" s="1">
        <v>658.2</v>
      </c>
      <c r="N30" s="2">
        <v>197.7</v>
      </c>
      <c r="O30" s="1">
        <v>262.39999999999998</v>
      </c>
      <c r="P30" s="1">
        <v>842.7</v>
      </c>
      <c r="Q30" s="1">
        <v>447.1</v>
      </c>
      <c r="R30" s="2">
        <v>1622.6</v>
      </c>
      <c r="S30" s="1">
        <v>1989</v>
      </c>
      <c r="T30" s="1">
        <v>1914.3</v>
      </c>
      <c r="U30" s="1">
        <v>1852.7</v>
      </c>
      <c r="V30" s="1">
        <v>2009.2</v>
      </c>
      <c r="W30" s="1">
        <v>1577.4</v>
      </c>
      <c r="X30" s="1">
        <v>1995.7</v>
      </c>
      <c r="Y30" s="1">
        <v>1165.5</v>
      </c>
      <c r="Z30" s="1">
        <v>1861.5</v>
      </c>
      <c r="AA30" s="1">
        <v>1733.8</v>
      </c>
      <c r="AB30" s="1">
        <v>1754.8</v>
      </c>
      <c r="AC30" s="1">
        <v>1699.8</v>
      </c>
      <c r="AD30" s="2">
        <v>1693.2</v>
      </c>
      <c r="AE30" s="1">
        <v>1476.7</v>
      </c>
      <c r="AF30" s="1">
        <v>1588</v>
      </c>
      <c r="AG30" s="1">
        <v>1578</v>
      </c>
      <c r="AI30" s="1">
        <f t="shared" si="1"/>
        <v>5769.2</v>
      </c>
      <c r="AJ30" s="1">
        <f t="shared" si="2"/>
        <v>1696.550722803855</v>
      </c>
      <c r="AK30" s="1">
        <f t="shared" si="0"/>
        <v>102.25995145350291</v>
      </c>
      <c r="AL30" s="1">
        <v>102.9</v>
      </c>
    </row>
    <row r="31" spans="1:38" x14ac:dyDescent="0.25">
      <c r="A31">
        <v>2020</v>
      </c>
      <c r="B31" s="2">
        <v>89.2</v>
      </c>
      <c r="C31" s="1">
        <v>3.4</v>
      </c>
      <c r="D31" s="1">
        <v>963.2</v>
      </c>
      <c r="E31" s="1">
        <v>60</v>
      </c>
      <c r="F31" s="1">
        <v>387.9</v>
      </c>
      <c r="G31" s="1">
        <v>961.6</v>
      </c>
      <c r="H31" s="1">
        <v>383.2</v>
      </c>
      <c r="I31" s="1">
        <v>324.39999999999998</v>
      </c>
      <c r="J31" s="1">
        <v>204</v>
      </c>
      <c r="K31" s="1">
        <v>145.69999999999999</v>
      </c>
      <c r="L31" s="1">
        <v>90.6</v>
      </c>
      <c r="M31" s="1">
        <v>653.6</v>
      </c>
      <c r="N31" s="2">
        <v>202</v>
      </c>
      <c r="O31" s="1">
        <v>265.3</v>
      </c>
      <c r="P31" s="1">
        <v>860.8</v>
      </c>
      <c r="Q31" s="1">
        <v>438.2</v>
      </c>
      <c r="R31" s="2">
        <v>1608.7</v>
      </c>
      <c r="S31" s="1">
        <v>1956.8</v>
      </c>
      <c r="T31" s="1">
        <v>1843.6</v>
      </c>
      <c r="U31" s="1">
        <v>1872.7</v>
      </c>
      <c r="V31" s="1">
        <v>1967.6</v>
      </c>
      <c r="W31" s="1">
        <v>1553.1</v>
      </c>
      <c r="X31" s="1">
        <v>1913.7</v>
      </c>
      <c r="Y31" s="1">
        <v>1063</v>
      </c>
      <c r="Z31" s="1">
        <v>1865.4</v>
      </c>
      <c r="AA31" s="1">
        <v>1730.9</v>
      </c>
      <c r="AB31" s="1">
        <v>1751.2</v>
      </c>
      <c r="AC31" s="1">
        <v>1666.1</v>
      </c>
      <c r="AD31" s="2">
        <v>1674.1</v>
      </c>
      <c r="AE31" s="1">
        <v>1496.2</v>
      </c>
      <c r="AF31" s="1">
        <v>1576.8</v>
      </c>
      <c r="AG31" s="1">
        <v>1510.5</v>
      </c>
      <c r="AI31" s="1">
        <f t="shared" si="1"/>
        <v>5741.9</v>
      </c>
      <c r="AJ31" s="1">
        <f t="shared" si="2"/>
        <v>1659.0568435535276</v>
      </c>
      <c r="AK31" s="1">
        <f>AJ31/AJ$31*100</f>
        <v>100</v>
      </c>
      <c r="AL31" s="1">
        <v>100</v>
      </c>
    </row>
    <row r="32" spans="1:38" x14ac:dyDescent="0.25">
      <c r="A32">
        <v>2021</v>
      </c>
      <c r="B32" s="2">
        <v>87</v>
      </c>
      <c r="C32" s="1">
        <v>3.5</v>
      </c>
      <c r="D32" s="1">
        <v>956.8</v>
      </c>
      <c r="E32" s="1">
        <v>60.2</v>
      </c>
      <c r="F32" s="1">
        <v>380.9</v>
      </c>
      <c r="G32" s="1">
        <v>967.6</v>
      </c>
      <c r="H32" s="1">
        <v>385.3</v>
      </c>
      <c r="I32" s="1">
        <v>305.89999999999998</v>
      </c>
      <c r="J32" s="1">
        <v>218.4</v>
      </c>
      <c r="K32" s="1">
        <v>145.80000000000001</v>
      </c>
      <c r="L32" s="1">
        <v>92.9</v>
      </c>
      <c r="M32" s="1">
        <v>664.1</v>
      </c>
      <c r="N32" s="2">
        <v>203.5</v>
      </c>
      <c r="O32" s="1">
        <v>266.5</v>
      </c>
      <c r="P32" s="1">
        <v>883</v>
      </c>
      <c r="Q32" s="1">
        <v>429.9</v>
      </c>
      <c r="R32" s="2">
        <v>1619.9</v>
      </c>
      <c r="S32" s="1">
        <v>1947.9</v>
      </c>
      <c r="T32" s="1">
        <v>1877</v>
      </c>
      <c r="U32" s="1">
        <v>1888.2</v>
      </c>
      <c r="V32" s="1">
        <v>1968.1</v>
      </c>
      <c r="W32" s="1">
        <v>1556.1</v>
      </c>
      <c r="X32" s="1">
        <v>1926.8</v>
      </c>
      <c r="Y32" s="1">
        <v>1045.4000000000001</v>
      </c>
      <c r="Z32" s="1">
        <v>1889.4</v>
      </c>
      <c r="AA32" s="1">
        <v>1751.9</v>
      </c>
      <c r="AB32" s="1">
        <v>1775.2</v>
      </c>
      <c r="AC32" s="1">
        <v>1709.1</v>
      </c>
      <c r="AD32" s="2">
        <v>1679.8</v>
      </c>
      <c r="AE32" s="1">
        <v>1514.6</v>
      </c>
      <c r="AF32" s="1">
        <v>1583.4</v>
      </c>
      <c r="AG32" s="1">
        <v>1545.4</v>
      </c>
      <c r="AI32" s="1">
        <f t="shared" si="1"/>
        <v>5760.8</v>
      </c>
      <c r="AJ32" s="1">
        <f t="shared" si="2"/>
        <v>1678.2510015970006</v>
      </c>
      <c r="AK32" s="1">
        <f t="shared" ref="AK32:AK35" si="3">AJ32/AJ$31*100</f>
        <v>101.15693191092603</v>
      </c>
      <c r="AL32" s="1">
        <v>100.7</v>
      </c>
    </row>
    <row r="33" spans="1:38" x14ac:dyDescent="0.25">
      <c r="A33">
        <v>2022</v>
      </c>
      <c r="B33" s="2">
        <v>86.5</v>
      </c>
      <c r="C33" s="1">
        <v>3.6</v>
      </c>
      <c r="D33" s="1">
        <v>954</v>
      </c>
      <c r="E33" s="1">
        <v>59.7</v>
      </c>
      <c r="F33" s="1">
        <v>380.6</v>
      </c>
      <c r="G33" s="1">
        <v>947.8</v>
      </c>
      <c r="H33" s="1">
        <v>382.8</v>
      </c>
      <c r="I33" s="1">
        <v>316.3</v>
      </c>
      <c r="J33" s="1">
        <v>230.8</v>
      </c>
      <c r="K33" s="1">
        <v>139.19999999999999</v>
      </c>
      <c r="L33" s="1">
        <v>92.7</v>
      </c>
      <c r="M33" s="1">
        <v>679.8</v>
      </c>
      <c r="N33" s="2">
        <v>205.6</v>
      </c>
      <c r="O33" s="1">
        <v>265.8</v>
      </c>
      <c r="P33" s="1">
        <v>904.2</v>
      </c>
      <c r="Q33" s="1">
        <v>436.9</v>
      </c>
      <c r="R33" s="2">
        <v>1622.3</v>
      </c>
      <c r="S33" s="1">
        <v>1913.4</v>
      </c>
      <c r="T33" s="1">
        <v>1881.4</v>
      </c>
      <c r="U33" s="1">
        <v>1879.4</v>
      </c>
      <c r="V33" s="1">
        <v>1960.3</v>
      </c>
      <c r="W33" s="1">
        <v>1548.1</v>
      </c>
      <c r="X33" s="1">
        <v>1944.7</v>
      </c>
      <c r="Y33" s="1">
        <v>1104.2</v>
      </c>
      <c r="Z33" s="1">
        <v>1878.5</v>
      </c>
      <c r="AA33" s="1">
        <v>1741.9</v>
      </c>
      <c r="AB33" s="1">
        <v>1719.9</v>
      </c>
      <c r="AC33" s="1">
        <v>1709.3</v>
      </c>
      <c r="AD33" s="2">
        <v>1669.5</v>
      </c>
      <c r="AE33" s="1">
        <v>1485.3</v>
      </c>
      <c r="AF33" s="1">
        <v>1564.2</v>
      </c>
      <c r="AG33" s="1">
        <v>1554.8</v>
      </c>
      <c r="AI33" s="1">
        <f t="shared" si="1"/>
        <v>5794.2</v>
      </c>
      <c r="AJ33" s="1">
        <f t="shared" si="2"/>
        <v>1675.2778036657346</v>
      </c>
      <c r="AK33" s="1">
        <f t="shared" si="3"/>
        <v>100.97772178061501</v>
      </c>
      <c r="AL33" s="1">
        <v>100.8</v>
      </c>
    </row>
    <row r="34" spans="1:38" x14ac:dyDescent="0.25">
      <c r="A34">
        <v>2023</v>
      </c>
      <c r="B34" s="2">
        <v>86.8</v>
      </c>
      <c r="C34" s="1">
        <v>3.6</v>
      </c>
      <c r="D34" s="1">
        <v>967.9</v>
      </c>
      <c r="E34" s="1">
        <v>59.6</v>
      </c>
      <c r="F34" s="1">
        <v>383.3</v>
      </c>
      <c r="G34" s="1">
        <v>948.2</v>
      </c>
      <c r="H34" s="1">
        <v>377.9</v>
      </c>
      <c r="I34" s="1">
        <v>334.4</v>
      </c>
      <c r="J34" s="1">
        <v>235.6</v>
      </c>
      <c r="K34" s="1">
        <v>135.69999999999999</v>
      </c>
      <c r="L34" s="1">
        <v>94</v>
      </c>
      <c r="M34" s="1">
        <v>682.9</v>
      </c>
      <c r="N34" s="2">
        <v>206.2</v>
      </c>
      <c r="O34" s="1">
        <v>265.2</v>
      </c>
      <c r="P34" s="1">
        <v>911.8</v>
      </c>
      <c r="Q34" s="1">
        <v>436.2</v>
      </c>
      <c r="R34" s="2">
        <v>1592.1</v>
      </c>
      <c r="S34" s="1">
        <v>1938.9</v>
      </c>
      <c r="T34" s="1">
        <v>1883.9</v>
      </c>
      <c r="U34" s="1">
        <v>1905.2</v>
      </c>
      <c r="V34" s="1">
        <v>1974.2</v>
      </c>
      <c r="W34" s="1">
        <v>1540.1</v>
      </c>
      <c r="X34" s="1">
        <v>1976.2</v>
      </c>
      <c r="Y34" s="1">
        <v>1087.3</v>
      </c>
      <c r="Z34" s="1">
        <v>1893.9</v>
      </c>
      <c r="AA34" s="1">
        <v>1761.4</v>
      </c>
      <c r="AB34" s="1">
        <v>1758.8</v>
      </c>
      <c r="AC34" s="1">
        <v>1709.5</v>
      </c>
      <c r="AD34" s="2">
        <v>1704.1</v>
      </c>
      <c r="AE34" s="1">
        <v>1493.1</v>
      </c>
      <c r="AF34" s="1">
        <v>1560.6</v>
      </c>
      <c r="AG34" s="1">
        <v>1561.3</v>
      </c>
      <c r="AI34" s="1">
        <f t="shared" si="1"/>
        <v>5836.2999999999993</v>
      </c>
      <c r="AJ34" s="1">
        <f t="shared" si="2"/>
        <v>1677.3166869420695</v>
      </c>
      <c r="AK34" s="1">
        <f t="shared" si="3"/>
        <v>101.10061589869525</v>
      </c>
      <c r="AL34" s="1">
        <v>100.9</v>
      </c>
    </row>
    <row r="35" spans="1:38" x14ac:dyDescent="0.25">
      <c r="A35">
        <v>2024</v>
      </c>
      <c r="B35" s="2">
        <v>86.3</v>
      </c>
      <c r="C35" s="1">
        <v>3.5</v>
      </c>
      <c r="D35" s="1">
        <v>960.9</v>
      </c>
      <c r="E35" s="1">
        <v>59.4</v>
      </c>
      <c r="F35" s="1">
        <v>379.8</v>
      </c>
      <c r="G35" s="1">
        <v>956.8</v>
      </c>
      <c r="H35" s="1">
        <v>374.1</v>
      </c>
      <c r="I35" s="1">
        <v>345.7</v>
      </c>
      <c r="J35" s="1">
        <v>246</v>
      </c>
      <c r="K35" s="1">
        <v>135.30000000000001</v>
      </c>
      <c r="L35" s="1">
        <v>94.5</v>
      </c>
      <c r="M35" s="1">
        <v>695.7</v>
      </c>
      <c r="N35" s="2">
        <v>206.8</v>
      </c>
      <c r="O35" s="1">
        <v>264.60000000000002</v>
      </c>
      <c r="P35" s="1">
        <v>926.4</v>
      </c>
      <c r="Q35" s="1">
        <v>448.4</v>
      </c>
      <c r="R35" s="2">
        <v>1578.3</v>
      </c>
      <c r="S35" s="1">
        <v>1884.1</v>
      </c>
      <c r="T35" s="1">
        <v>1874.2</v>
      </c>
      <c r="U35" s="1">
        <v>1896</v>
      </c>
      <c r="V35" s="1">
        <v>1936.5</v>
      </c>
      <c r="W35" s="1">
        <v>1531.8</v>
      </c>
      <c r="X35" s="1">
        <v>1952.3</v>
      </c>
      <c r="Y35" s="1">
        <v>1055.8</v>
      </c>
      <c r="Z35" s="1">
        <v>1891.9</v>
      </c>
      <c r="AA35" s="1">
        <v>1760.8</v>
      </c>
      <c r="AB35" s="1">
        <v>1743.4</v>
      </c>
      <c r="AC35" s="1">
        <v>1699.9</v>
      </c>
      <c r="AD35" s="2">
        <v>1662.1</v>
      </c>
      <c r="AE35" s="1">
        <v>1474</v>
      </c>
      <c r="AF35" s="1">
        <v>1552.8</v>
      </c>
      <c r="AG35" s="1">
        <v>1544.1</v>
      </c>
      <c r="AI35" s="1">
        <f t="shared" si="1"/>
        <v>5891.0999999999995</v>
      </c>
      <c r="AJ35" s="1">
        <f t="shared" si="2"/>
        <v>1661.5766308499262</v>
      </c>
      <c r="AK35" s="1">
        <f t="shared" si="3"/>
        <v>100.15188070898171</v>
      </c>
      <c r="AL35" s="3">
        <v>99.891000000000005</v>
      </c>
    </row>
    <row r="36" spans="1:38" x14ac:dyDescent="0.25">
      <c r="AL36" s="3">
        <v>98.492525999999998</v>
      </c>
    </row>
  </sheetData>
  <phoneticPr fontId="2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渡邉 学(watanabe-manabu)</cp:lastModifiedBy>
  <dcterms:modified xsi:type="dcterms:W3CDTF">2026-06-08T00:40:34Z</dcterms:modified>
</cp:coreProperties>
</file>
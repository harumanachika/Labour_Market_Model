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defaultThemeVersion="166925"/>
  <xr:revisionPtr revIDLastSave="0" documentId="13_ncr:1_{EF86E800-4465-46A3-B322-B3DCFEF7515F}" xr6:coauthVersionLast="47" xr6:coauthVersionMax="47" xr10:uidLastSave="{00000000-0000-0000-0000-000000000000}"/>
  <bookViews>
    <workbookView xWindow="-108" yWindow="-108" windowWidth="23256" windowHeight="12456" xr2:uid="{69463FB7-C361-49B8-A8FD-E57D74F44FE4}"/>
  </bookViews>
  <sheets>
    <sheet name="labour_force_simulation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" i="1" l="1"/>
  <c r="R2" i="1" s="1"/>
  <c r="P2" i="1"/>
  <c r="P3" i="1"/>
  <c r="Q3" i="1"/>
  <c r="P4" i="1"/>
  <c r="Q4" i="1"/>
  <c r="R4" i="1"/>
  <c r="P5" i="1"/>
  <c r="Q5" i="1"/>
  <c r="R5" i="1" s="1"/>
  <c r="P6" i="1"/>
  <c r="Q6" i="1"/>
  <c r="R6" i="1" s="1"/>
  <c r="P7" i="1"/>
  <c r="Q7" i="1"/>
  <c r="R7" i="1" s="1"/>
  <c r="P8" i="1"/>
  <c r="Q8" i="1"/>
  <c r="R8" i="1"/>
  <c r="P9" i="1"/>
  <c r="Q9" i="1"/>
  <c r="R9" i="1" s="1"/>
  <c r="P10" i="1"/>
  <c r="Q10" i="1"/>
  <c r="R10" i="1"/>
  <c r="P11" i="1"/>
  <c r="Q11" i="1"/>
  <c r="P12" i="1"/>
  <c r="Q12" i="1"/>
  <c r="R12" i="1"/>
  <c r="P13" i="1"/>
  <c r="Q13" i="1"/>
  <c r="R13" i="1"/>
  <c r="P14" i="1"/>
  <c r="Q14" i="1"/>
  <c r="R14" i="1" s="1"/>
  <c r="P15" i="1"/>
  <c r="Q15" i="1"/>
  <c r="R15" i="1" s="1"/>
  <c r="P16" i="1"/>
  <c r="Q16" i="1"/>
  <c r="R16" i="1" s="1"/>
  <c r="P17" i="1"/>
  <c r="Q17" i="1"/>
  <c r="R17" i="1"/>
  <c r="P18" i="1"/>
  <c r="Q18" i="1"/>
  <c r="R18" i="1" s="1"/>
  <c r="P19" i="1"/>
  <c r="Q19" i="1"/>
  <c r="R19" i="1" s="1"/>
  <c r="P20" i="1"/>
  <c r="Q20" i="1"/>
  <c r="R20" i="1" s="1"/>
  <c r="P21" i="1"/>
  <c r="R21" i="1" s="1"/>
  <c r="Q21" i="1"/>
  <c r="P22" i="1"/>
  <c r="Q22" i="1"/>
  <c r="P23" i="1"/>
  <c r="Q23" i="1"/>
  <c r="R23" i="1" s="1"/>
  <c r="P24" i="1"/>
  <c r="Q24" i="1"/>
  <c r="R24" i="1"/>
  <c r="P25" i="1"/>
  <c r="R25" i="1" s="1"/>
  <c r="Q25" i="1"/>
  <c r="P26" i="1"/>
  <c r="Q26" i="1"/>
  <c r="R26" i="1" s="1"/>
  <c r="P27" i="1"/>
  <c r="Q27" i="1"/>
  <c r="P28" i="1"/>
  <c r="Q28" i="1"/>
  <c r="R28" i="1"/>
  <c r="P29" i="1"/>
  <c r="Q29" i="1"/>
  <c r="R29" i="1" s="1"/>
  <c r="P30" i="1"/>
  <c r="Q30" i="1"/>
  <c r="R30" i="1"/>
  <c r="P31" i="1"/>
  <c r="Q31" i="1"/>
  <c r="R31" i="1" s="1"/>
  <c r="P32" i="1"/>
  <c r="Q32" i="1"/>
  <c r="R32" i="1" s="1"/>
  <c r="P33" i="1"/>
  <c r="Q33" i="1"/>
  <c r="R33" i="1"/>
  <c r="P34" i="1"/>
  <c r="Q34" i="1"/>
  <c r="R34" i="1" s="1"/>
  <c r="P35" i="1"/>
  <c r="Q35" i="1"/>
  <c r="P36" i="1"/>
  <c r="Q36" i="1"/>
  <c r="R36" i="1" s="1"/>
  <c r="P37" i="1"/>
  <c r="Q37" i="1"/>
  <c r="R37" i="1"/>
  <c r="P38" i="1"/>
  <c r="R38" i="1" s="1"/>
  <c r="Q38" i="1"/>
  <c r="P39" i="1"/>
  <c r="Q39" i="1"/>
  <c r="R39" i="1" s="1"/>
  <c r="P40" i="1"/>
  <c r="Q40" i="1"/>
  <c r="R40" i="1" s="1"/>
  <c r="P41" i="1"/>
  <c r="Q41" i="1"/>
  <c r="R41" i="1"/>
  <c r="P42" i="1"/>
  <c r="Q42" i="1"/>
  <c r="R42" i="1" s="1"/>
  <c r="P43" i="1"/>
  <c r="Q43" i="1"/>
  <c r="P44" i="1"/>
  <c r="Q44" i="1"/>
  <c r="R44" i="1"/>
  <c r="P45" i="1"/>
  <c r="Q45" i="1"/>
  <c r="R45" i="1" s="1"/>
  <c r="P46" i="1"/>
  <c r="Q46" i="1"/>
  <c r="R46" i="1"/>
  <c r="P47" i="1"/>
  <c r="Q47" i="1"/>
  <c r="R47" i="1" s="1"/>
  <c r="G3" i="2"/>
  <c r="G4" i="2"/>
  <c r="G5" i="2"/>
  <c r="G6" i="2"/>
  <c r="G7" i="2"/>
  <c r="G8" i="2"/>
  <c r="G9" i="2"/>
  <c r="G10" i="2"/>
  <c r="G11" i="2"/>
  <c r="G2" i="2"/>
  <c r="B9" i="2"/>
  <c r="C9" i="2"/>
  <c r="D9" i="2"/>
  <c r="E9" i="2"/>
  <c r="F9" i="2"/>
  <c r="B10" i="2"/>
  <c r="C10" i="2"/>
  <c r="D10" i="2"/>
  <c r="E10" i="2"/>
  <c r="F10" i="2"/>
  <c r="B11" i="2"/>
  <c r="C11" i="2"/>
  <c r="D11" i="2"/>
  <c r="E11" i="2"/>
  <c r="F11" i="2"/>
  <c r="F3" i="2"/>
  <c r="F4" i="2"/>
  <c r="F5" i="2"/>
  <c r="F6" i="2"/>
  <c r="F7" i="2"/>
  <c r="F8" i="2"/>
  <c r="F2" i="2"/>
  <c r="E3" i="2"/>
  <c r="E4" i="2"/>
  <c r="E5" i="2"/>
  <c r="E6" i="2"/>
  <c r="E7" i="2"/>
  <c r="E8" i="2"/>
  <c r="E2" i="2"/>
  <c r="D3" i="2"/>
  <c r="D4" i="2"/>
  <c r="D5" i="2"/>
  <c r="D6" i="2"/>
  <c r="D7" i="2"/>
  <c r="D8" i="2"/>
  <c r="D2" i="2"/>
  <c r="C3" i="2"/>
  <c r="C4" i="2"/>
  <c r="C5" i="2"/>
  <c r="C6" i="2"/>
  <c r="C7" i="2"/>
  <c r="C8" i="2"/>
  <c r="C2" i="2"/>
  <c r="B3" i="2"/>
  <c r="B4" i="2"/>
  <c r="B5" i="2"/>
  <c r="B6" i="2"/>
  <c r="B7" i="2"/>
  <c r="B8" i="2"/>
  <c r="B2" i="2"/>
  <c r="R27" i="1" l="1"/>
  <c r="R35" i="1"/>
  <c r="R22" i="1"/>
  <c r="R43" i="1"/>
  <c r="R11" i="1"/>
  <c r="R3" i="1"/>
</calcChain>
</file>

<file path=xl/sharedStrings.xml><?xml version="1.0" encoding="utf-8"?>
<sst xmlns="http://schemas.openxmlformats.org/spreadsheetml/2006/main" count="75" uniqueCount="25">
  <si>
    <t>year</t>
  </si>
  <si>
    <t>data_type</t>
  </si>
  <si>
    <t>POP</t>
  </si>
  <si>
    <t>RY</t>
  </si>
  <si>
    <t>D_GDP</t>
  </si>
  <si>
    <t>P</t>
  </si>
  <si>
    <t>PartRate</t>
  </si>
  <si>
    <t>ADD_LFPR</t>
  </si>
  <si>
    <t>U_rate</t>
  </si>
  <si>
    <t>W</t>
  </si>
  <si>
    <t>LS</t>
  </si>
  <si>
    <t>E</t>
  </si>
  <si>
    <t>E_RY</t>
  </si>
  <si>
    <t>E_est</t>
  </si>
  <si>
    <t>U</t>
  </si>
  <si>
    <t>actual</t>
  </si>
  <si>
    <t>simulation</t>
  </si>
  <si>
    <t>・総需要が拡大する中で就業者数が減少する理由</t>
    <rPh sb="1" eb="4">
      <t>ソウジュヨウ</t>
    </rPh>
    <rPh sb="5" eb="7">
      <t>カクダイ</t>
    </rPh>
    <rPh sb="9" eb="10">
      <t>ナカ</t>
    </rPh>
    <rPh sb="11" eb="14">
      <t>シュウギョウシャ</t>
    </rPh>
    <rPh sb="14" eb="15">
      <t>スウ</t>
    </rPh>
    <rPh sb="16" eb="18">
      <t>ゲンショウ</t>
    </rPh>
    <rPh sb="20" eb="22">
      <t>リユウ</t>
    </rPh>
    <phoneticPr fontId="18"/>
  </si>
  <si>
    <t>労働力人口、就業者数</t>
    <rPh sb="0" eb="3">
      <t>ロウドウリョク</t>
    </rPh>
    <rPh sb="3" eb="5">
      <t>ジンコウ</t>
    </rPh>
    <rPh sb="6" eb="9">
      <t>シュウギョウシャ</t>
    </rPh>
    <rPh sb="9" eb="10">
      <t>スウ</t>
    </rPh>
    <phoneticPr fontId="18"/>
  </si>
  <si>
    <t>労働力率、失業率（右軸）</t>
    <rPh sb="0" eb="3">
      <t>ロウドウリョク</t>
    </rPh>
    <rPh sb="3" eb="4">
      <t>リツ</t>
    </rPh>
    <rPh sb="5" eb="8">
      <t>シツギョウリツ</t>
    </rPh>
    <rPh sb="9" eb="11">
      <t>ミギジク</t>
    </rPh>
    <phoneticPr fontId="18"/>
  </si>
  <si>
    <t>賃金</t>
    <rPh sb="0" eb="2">
      <t>チンギン</t>
    </rPh>
    <phoneticPr fontId="18"/>
  </si>
  <si>
    <t>U</t>
    <phoneticPr fontId="18"/>
  </si>
  <si>
    <t>RY_1995</t>
    <phoneticPr fontId="18"/>
  </si>
  <si>
    <t>E_1995</t>
    <phoneticPr fontId="18"/>
  </si>
  <si>
    <t>E/RY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</si>
</sst>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"/>
  </numFmts>
  <fonts count="19" x14ac:knownFonts="1">
    <font>
      <sz val="9"/>
      <color theme="1"/>
      <name val="Meiryo UI"/>
      <family val="2"/>
      <charset val="128"/>
    </font>
    <font>
      <sz val="9"/>
      <color theme="1"/>
      <name val="Meiryo UI"/>
      <family val="2"/>
      <charset val="128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Meiryo UI"/>
      <family val="2"/>
      <charset val="128"/>
    </font>
    <font>
      <b/>
      <sz val="13"/>
      <color theme="3"/>
      <name val="Meiryo UI"/>
      <family val="2"/>
      <charset val="128"/>
    </font>
    <font>
      <b/>
      <sz val="11"/>
      <color theme="3"/>
      <name val="Meiryo UI"/>
      <family val="2"/>
      <charset val="128"/>
    </font>
    <font>
      <sz val="9"/>
      <color rgb="FF006100"/>
      <name val="Meiryo UI"/>
      <family val="2"/>
      <charset val="128"/>
    </font>
    <font>
      <sz val="9"/>
      <color rgb="FF9C0006"/>
      <name val="Meiryo UI"/>
      <family val="2"/>
      <charset val="128"/>
    </font>
    <font>
      <sz val="9"/>
      <color rgb="FF9C5700"/>
      <name val="Meiryo UI"/>
      <family val="2"/>
      <charset val="128"/>
    </font>
    <font>
      <sz val="9"/>
      <color rgb="FF3F3F76"/>
      <name val="Meiryo UI"/>
      <family val="2"/>
      <charset val="128"/>
    </font>
    <font>
      <b/>
      <sz val="9"/>
      <color rgb="FF3F3F3F"/>
      <name val="Meiryo UI"/>
      <family val="2"/>
      <charset val="128"/>
    </font>
    <font>
      <b/>
      <sz val="9"/>
      <color rgb="FFFA7D00"/>
      <name val="Meiryo UI"/>
      <family val="2"/>
      <charset val="128"/>
    </font>
    <font>
      <sz val="9"/>
      <color rgb="FFFA7D00"/>
      <name val="Meiryo UI"/>
      <family val="2"/>
      <charset val="128"/>
    </font>
    <font>
      <b/>
      <sz val="9"/>
      <color theme="0"/>
      <name val="Meiryo UI"/>
      <family val="2"/>
      <charset val="128"/>
    </font>
    <font>
      <sz val="9"/>
      <color rgb="FFFF0000"/>
      <name val="Meiryo UI"/>
      <family val="2"/>
      <charset val="128"/>
    </font>
    <font>
      <i/>
      <sz val="9"/>
      <color rgb="FF7F7F7F"/>
      <name val="Meiryo UI"/>
      <family val="2"/>
      <charset val="128"/>
    </font>
    <font>
      <b/>
      <sz val="9"/>
      <color theme="1"/>
      <name val="Meiryo UI"/>
      <family val="2"/>
      <charset val="128"/>
    </font>
    <font>
      <sz val="9"/>
      <color theme="0"/>
      <name val="Meiryo UI"/>
      <family val="2"/>
      <charset val="128"/>
    </font>
    <font>
      <sz val="6"/>
      <name val="Meiryo UI"/>
      <family val="2"/>
      <charset val="128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33" borderId="0" xfId="0" applyFill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labour_force_simulation!$A$2:$A$47</c:f>
              <c:numCache>
                <c:formatCode>General</c:formatCode>
                <c:ptCount val="4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</c:numCache>
            </c:numRef>
          </c:cat>
          <c:val>
            <c:numRef>
              <c:f>labour_force_simulation!$K$2:$K$47</c:f>
              <c:numCache>
                <c:formatCode>General</c:formatCode>
                <c:ptCount val="46"/>
                <c:pt idx="0">
                  <c:v>66660</c:v>
                </c:pt>
                <c:pt idx="1">
                  <c:v>67110</c:v>
                </c:pt>
                <c:pt idx="2">
                  <c:v>67870</c:v>
                </c:pt>
                <c:pt idx="3">
                  <c:v>67930</c:v>
                </c:pt>
                <c:pt idx="4">
                  <c:v>67790</c:v>
                </c:pt>
                <c:pt idx="5">
                  <c:v>67660</c:v>
                </c:pt>
                <c:pt idx="6">
                  <c:v>67520</c:v>
                </c:pt>
                <c:pt idx="7">
                  <c:v>66890</c:v>
                </c:pt>
                <c:pt idx="8">
                  <c:v>66660</c:v>
                </c:pt>
                <c:pt idx="9">
                  <c:v>66420</c:v>
                </c:pt>
                <c:pt idx="10">
                  <c:v>66510</c:v>
                </c:pt>
                <c:pt idx="11">
                  <c:v>66640</c:v>
                </c:pt>
                <c:pt idx="12">
                  <c:v>66840</c:v>
                </c:pt>
                <c:pt idx="13">
                  <c:v>66740</c:v>
                </c:pt>
                <c:pt idx="14">
                  <c:v>66500</c:v>
                </c:pt>
                <c:pt idx="15">
                  <c:v>66320</c:v>
                </c:pt>
                <c:pt idx="16">
                  <c:v>65960</c:v>
                </c:pt>
                <c:pt idx="17">
                  <c:v>65650</c:v>
                </c:pt>
                <c:pt idx="18">
                  <c:v>65930</c:v>
                </c:pt>
                <c:pt idx="19">
                  <c:v>66090</c:v>
                </c:pt>
                <c:pt idx="20">
                  <c:v>66250</c:v>
                </c:pt>
                <c:pt idx="21">
                  <c:v>66780</c:v>
                </c:pt>
                <c:pt idx="22">
                  <c:v>67320</c:v>
                </c:pt>
                <c:pt idx="23">
                  <c:v>68490</c:v>
                </c:pt>
                <c:pt idx="24">
                  <c:v>69120</c:v>
                </c:pt>
                <c:pt idx="25">
                  <c:v>69020</c:v>
                </c:pt>
                <c:pt idx="26">
                  <c:v>69070</c:v>
                </c:pt>
                <c:pt idx="27">
                  <c:v>69020</c:v>
                </c:pt>
                <c:pt idx="28">
                  <c:v>69250</c:v>
                </c:pt>
                <c:pt idx="29">
                  <c:v>69570</c:v>
                </c:pt>
                <c:pt idx="30">
                  <c:v>70040</c:v>
                </c:pt>
                <c:pt idx="31">
                  <c:v>70467.921958304098</c:v>
                </c:pt>
                <c:pt idx="32">
                  <c:v>71066.777852032101</c:v>
                </c:pt>
                <c:pt idx="33">
                  <c:v>71775.0099946962</c:v>
                </c:pt>
                <c:pt idx="34">
                  <c:v>72345.791809096394</c:v>
                </c:pt>
                <c:pt idx="35">
                  <c:v>72836.189322544495</c:v>
                </c:pt>
                <c:pt idx="36">
                  <c:v>73212.7836881033</c:v>
                </c:pt>
                <c:pt idx="37">
                  <c:v>73465.884722657502</c:v>
                </c:pt>
                <c:pt idx="38">
                  <c:v>73628.867571187293</c:v>
                </c:pt>
                <c:pt idx="39">
                  <c:v>73698.696748731105</c:v>
                </c:pt>
                <c:pt idx="40">
                  <c:v>73697.707347292206</c:v>
                </c:pt>
                <c:pt idx="41">
                  <c:v>73640.192229529799</c:v>
                </c:pt>
                <c:pt idx="42">
                  <c:v>73561.307032192693</c:v>
                </c:pt>
                <c:pt idx="43">
                  <c:v>73390.877554644394</c:v>
                </c:pt>
                <c:pt idx="44">
                  <c:v>73192.002705167804</c:v>
                </c:pt>
                <c:pt idx="45">
                  <c:v>72957.802629568701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FB-4914-BFFC-8FD355994DB4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labour_force_simulation!$A$2:$A$47</c:f>
              <c:numCache>
                <c:formatCode>General</c:formatCode>
                <c:ptCount val="4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</c:numCache>
            </c:numRef>
          </c:cat>
          <c:val>
            <c:numRef>
              <c:f>labour_force_simulation!$L$2:$L$47</c:f>
              <c:numCache>
                <c:formatCode>General</c:formatCode>
                <c:ptCount val="46"/>
                <c:pt idx="0">
                  <c:v>64570</c:v>
                </c:pt>
                <c:pt idx="1">
                  <c:v>64860</c:v>
                </c:pt>
                <c:pt idx="2">
                  <c:v>65570</c:v>
                </c:pt>
                <c:pt idx="3">
                  <c:v>65140</c:v>
                </c:pt>
                <c:pt idx="4">
                  <c:v>64620</c:v>
                </c:pt>
                <c:pt idx="5">
                  <c:v>64460</c:v>
                </c:pt>
                <c:pt idx="6">
                  <c:v>64120</c:v>
                </c:pt>
                <c:pt idx="7">
                  <c:v>63300</c:v>
                </c:pt>
                <c:pt idx="8">
                  <c:v>63160</c:v>
                </c:pt>
                <c:pt idx="9">
                  <c:v>63290</c:v>
                </c:pt>
                <c:pt idx="10">
                  <c:v>63560</c:v>
                </c:pt>
                <c:pt idx="11">
                  <c:v>63890</c:v>
                </c:pt>
                <c:pt idx="12">
                  <c:v>64270</c:v>
                </c:pt>
                <c:pt idx="13">
                  <c:v>64090</c:v>
                </c:pt>
                <c:pt idx="14">
                  <c:v>63140</c:v>
                </c:pt>
                <c:pt idx="15">
                  <c:v>62980</c:v>
                </c:pt>
                <c:pt idx="16">
                  <c:v>62930</c:v>
                </c:pt>
                <c:pt idx="17">
                  <c:v>62800</c:v>
                </c:pt>
                <c:pt idx="18">
                  <c:v>63260</c:v>
                </c:pt>
                <c:pt idx="19">
                  <c:v>63710</c:v>
                </c:pt>
                <c:pt idx="20">
                  <c:v>64020</c:v>
                </c:pt>
                <c:pt idx="21">
                  <c:v>64700</c:v>
                </c:pt>
                <c:pt idx="22">
                  <c:v>65420</c:v>
                </c:pt>
                <c:pt idx="23">
                  <c:v>66820</c:v>
                </c:pt>
                <c:pt idx="24">
                  <c:v>67500</c:v>
                </c:pt>
                <c:pt idx="25">
                  <c:v>67100</c:v>
                </c:pt>
                <c:pt idx="26">
                  <c:v>67130</c:v>
                </c:pt>
                <c:pt idx="27">
                  <c:v>67230</c:v>
                </c:pt>
                <c:pt idx="28">
                  <c:v>67470</c:v>
                </c:pt>
                <c:pt idx="29">
                  <c:v>67810</c:v>
                </c:pt>
                <c:pt idx="30">
                  <c:v>68280</c:v>
                </c:pt>
                <c:pt idx="31">
                  <c:v>69073.594231087205</c:v>
                </c:pt>
                <c:pt idx="32">
                  <c:v>69839.201394407006</c:v>
                </c:pt>
                <c:pt idx="33">
                  <c:v>70483.671680189902</c:v>
                </c:pt>
                <c:pt idx="34">
                  <c:v>70983.1643471141</c:v>
                </c:pt>
                <c:pt idx="35">
                  <c:v>71351.654539158699</c:v>
                </c:pt>
                <c:pt idx="36">
                  <c:v>71604.7962080625</c:v>
                </c:pt>
                <c:pt idx="37">
                  <c:v>71760.274108128302</c:v>
                </c:pt>
                <c:pt idx="38">
                  <c:v>71835.867106205405</c:v>
                </c:pt>
                <c:pt idx="39">
                  <c:v>71830.504075241406</c:v>
                </c:pt>
                <c:pt idx="40">
                  <c:v>71758.349957732498</c:v>
                </c:pt>
                <c:pt idx="41">
                  <c:v>71627.606961482394</c:v>
                </c:pt>
                <c:pt idx="42">
                  <c:v>71447.950606554194</c:v>
                </c:pt>
                <c:pt idx="43">
                  <c:v>71232.869334308503</c:v>
                </c:pt>
                <c:pt idx="44">
                  <c:v>70989.752697937904</c:v>
                </c:pt>
                <c:pt idx="45">
                  <c:v>70724.721823155007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FB-4914-BFFC-8FD355994DB4}"/>
            </c:ext>
          </c:extLst>
        </c:ser>
        <c:ser>
          <c:idx val="2"/>
          <c:order val="2"/>
          <c:spPr>
            <a:ln w="28575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labour_force_simulation!$A$2:$A$47</c:f>
              <c:numCache>
                <c:formatCode>General</c:formatCode>
                <c:ptCount val="4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</c:numCache>
            </c:numRef>
          </c:cat>
          <c:val>
            <c:numRef>
              <c:f>labour_force_simulation!$N$2:$N$47</c:f>
              <c:numCache>
                <c:formatCode>General</c:formatCode>
                <c:ptCount val="46"/>
                <c:pt idx="0">
                  <c:v>64570</c:v>
                </c:pt>
                <c:pt idx="1">
                  <c:v>64860</c:v>
                </c:pt>
                <c:pt idx="2">
                  <c:v>65570</c:v>
                </c:pt>
                <c:pt idx="3">
                  <c:v>65140</c:v>
                </c:pt>
                <c:pt idx="4">
                  <c:v>64620</c:v>
                </c:pt>
                <c:pt idx="5">
                  <c:v>64460</c:v>
                </c:pt>
                <c:pt idx="6">
                  <c:v>64120</c:v>
                </c:pt>
                <c:pt idx="7">
                  <c:v>63300</c:v>
                </c:pt>
                <c:pt idx="8">
                  <c:v>63160</c:v>
                </c:pt>
                <c:pt idx="9">
                  <c:v>63290</c:v>
                </c:pt>
                <c:pt idx="10">
                  <c:v>63560</c:v>
                </c:pt>
                <c:pt idx="11">
                  <c:v>63890</c:v>
                </c:pt>
                <c:pt idx="12">
                  <c:v>64270</c:v>
                </c:pt>
                <c:pt idx="13">
                  <c:v>64090</c:v>
                </c:pt>
                <c:pt idx="14">
                  <c:v>63140</c:v>
                </c:pt>
                <c:pt idx="15">
                  <c:v>62980</c:v>
                </c:pt>
                <c:pt idx="16">
                  <c:v>62930</c:v>
                </c:pt>
                <c:pt idx="17">
                  <c:v>62800</c:v>
                </c:pt>
                <c:pt idx="18">
                  <c:v>63260</c:v>
                </c:pt>
                <c:pt idx="19">
                  <c:v>63710</c:v>
                </c:pt>
                <c:pt idx="20">
                  <c:v>64020</c:v>
                </c:pt>
                <c:pt idx="21">
                  <c:v>64700</c:v>
                </c:pt>
                <c:pt idx="22">
                  <c:v>65420</c:v>
                </c:pt>
                <c:pt idx="23">
                  <c:v>66820</c:v>
                </c:pt>
                <c:pt idx="24">
                  <c:v>67500</c:v>
                </c:pt>
                <c:pt idx="25">
                  <c:v>67100</c:v>
                </c:pt>
                <c:pt idx="26">
                  <c:v>67130</c:v>
                </c:pt>
                <c:pt idx="27">
                  <c:v>67230</c:v>
                </c:pt>
                <c:pt idx="28">
                  <c:v>67470</c:v>
                </c:pt>
                <c:pt idx="29">
                  <c:v>67810</c:v>
                </c:pt>
                <c:pt idx="30">
                  <c:v>68280</c:v>
                </c:pt>
                <c:pt idx="31">
                  <c:v>68861.866972279196</c:v>
                </c:pt>
                <c:pt idx="32">
                  <c:v>69565.393803957195</c:v>
                </c:pt>
                <c:pt idx="33">
                  <c:v>70259.0352677685</c:v>
                </c:pt>
                <c:pt idx="34">
                  <c:v>70788.9094711207</c:v>
                </c:pt>
                <c:pt idx="35">
                  <c:v>71213.264054629093</c:v>
                </c:pt>
                <c:pt idx="36">
                  <c:v>71512.051171833606</c:v>
                </c:pt>
                <c:pt idx="37">
                  <c:v>71691.861812459101</c:v>
                </c:pt>
                <c:pt idx="38">
                  <c:v>71790.755984546704</c:v>
                </c:pt>
                <c:pt idx="39">
                  <c:v>71804.595924219597</c:v>
                </c:pt>
                <c:pt idx="40">
                  <c:v>71755.604513857907</c:v>
                </c:pt>
                <c:pt idx="41">
                  <c:v>71645.858801675902</c:v>
                </c:pt>
                <c:pt idx="42">
                  <c:v>71492.046212293106</c:v>
                </c:pt>
                <c:pt idx="43">
                  <c:v>71278.695999278396</c:v>
                </c:pt>
                <c:pt idx="44">
                  <c:v>71043.437348111707</c:v>
                </c:pt>
                <c:pt idx="45">
                  <c:v>70782.651965030396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EFB-4914-BFFC-8FD355994D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1244608"/>
        <c:axId val="1571245088"/>
      </c:lineChart>
      <c:catAx>
        <c:axId val="1571244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71245088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157124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71244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labour_force_simulation!$A$2:$A$47</c:f>
              <c:numCache>
                <c:formatCode>General</c:formatCode>
                <c:ptCount val="4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</c:numCache>
            </c:numRef>
          </c:cat>
          <c:val>
            <c:numRef>
              <c:f>labour_force_simulation!$J$2:$J$47</c:f>
              <c:numCache>
                <c:formatCode>General</c:formatCode>
                <c:ptCount val="46"/>
                <c:pt idx="0">
                  <c:v>0.93293718169999995</c:v>
                </c:pt>
                <c:pt idx="1">
                  <c:v>0.9423240034</c:v>
                </c:pt>
                <c:pt idx="2">
                  <c:v>0.97076526230000004</c:v>
                </c:pt>
                <c:pt idx="3">
                  <c:v>0.96869565219999998</c:v>
                </c:pt>
                <c:pt idx="4">
                  <c:v>0.96481970100000003</c:v>
                </c:pt>
                <c:pt idx="5">
                  <c:v>0.95895196510000003</c:v>
                </c:pt>
                <c:pt idx="6">
                  <c:v>0.95410414829999901</c:v>
                </c:pt>
                <c:pt idx="7">
                  <c:v>0.93493761139999998</c:v>
                </c:pt>
                <c:pt idx="8">
                  <c:v>0.92780748660000001</c:v>
                </c:pt>
                <c:pt idx="9">
                  <c:v>0.92170818509999997</c:v>
                </c:pt>
                <c:pt idx="10">
                  <c:v>0.93375111909999997</c:v>
                </c:pt>
                <c:pt idx="11">
                  <c:v>0.93137254899999999</c:v>
                </c:pt>
                <c:pt idx="12">
                  <c:v>0.92908438059999998</c:v>
                </c:pt>
                <c:pt idx="13">
                  <c:v>0.93738656989999902</c:v>
                </c:pt>
                <c:pt idx="14">
                  <c:v>0.92803738319999995</c:v>
                </c:pt>
                <c:pt idx="15">
                  <c:v>0.91988950279999904</c:v>
                </c:pt>
                <c:pt idx="16">
                  <c:v>0.9205909511</c:v>
                </c:pt>
                <c:pt idx="17">
                  <c:v>0.90725436179999996</c:v>
                </c:pt>
                <c:pt idx="18">
                  <c:v>0.91457753019999999</c:v>
                </c:pt>
                <c:pt idx="19">
                  <c:v>0.92264678469999994</c:v>
                </c:pt>
                <c:pt idx="20">
                  <c:v>0.92703461180000002</c:v>
                </c:pt>
                <c:pt idx="21">
                  <c:v>0.937911571</c:v>
                </c:pt>
                <c:pt idx="22">
                  <c:v>0.94439208289999999</c:v>
                </c:pt>
                <c:pt idx="23">
                  <c:v>0.9657794677</c:v>
                </c:pt>
                <c:pt idx="24">
                  <c:v>0.98347910589999998</c:v>
                </c:pt>
                <c:pt idx="25">
                  <c:v>1</c:v>
                </c:pt>
                <c:pt idx="26">
                  <c:v>0.99602780540000002</c:v>
                </c:pt>
                <c:pt idx="27">
                  <c:v>1.0148809519999999</c:v>
                </c:pt>
                <c:pt idx="28">
                  <c:v>1.0257680870000001</c:v>
                </c:pt>
                <c:pt idx="29">
                  <c:v>1.065141004</c:v>
                </c:pt>
                <c:pt idx="30">
                  <c:v>1.1051107979999999</c:v>
                </c:pt>
                <c:pt idx="31">
                  <c:v>1.1312078489858199</c:v>
                </c:pt>
                <c:pt idx="32">
                  <c:v>1.15674908041497</c:v>
                </c:pt>
                <c:pt idx="33">
                  <c:v>1.1812412259655001</c:v>
                </c:pt>
                <c:pt idx="34">
                  <c:v>1.2058705857532499</c:v>
                </c:pt>
                <c:pt idx="35">
                  <c:v>1.23042167089837</c:v>
                </c:pt>
                <c:pt idx="36">
                  <c:v>1.25459443694746</c:v>
                </c:pt>
                <c:pt idx="37">
                  <c:v>1.2782309343712299</c:v>
                </c:pt>
                <c:pt idx="38">
                  <c:v>1.30149055090067</c:v>
                </c:pt>
                <c:pt idx="39">
                  <c:v>1.3244162675742801</c:v>
                </c:pt>
                <c:pt idx="40">
                  <c:v>1.34723431359444</c:v>
                </c:pt>
                <c:pt idx="41">
                  <c:v>1.3697056892894599</c:v>
                </c:pt>
                <c:pt idx="42">
                  <c:v>1.3913050951294399</c:v>
                </c:pt>
                <c:pt idx="43">
                  <c:v>1.4125359573602101</c:v>
                </c:pt>
                <c:pt idx="44">
                  <c:v>1.43345264496608</c:v>
                </c:pt>
                <c:pt idx="45">
                  <c:v>1.45416261100852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7F-4AE4-ACB7-0289D5231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1244608"/>
        <c:axId val="1571245088"/>
      </c:lineChart>
      <c:catAx>
        <c:axId val="1571244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71245088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1571245088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71244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labour_force_simulation!$A$2:$A$47</c:f>
              <c:numCache>
                <c:formatCode>General</c:formatCode>
                <c:ptCount val="4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</c:numCache>
            </c:numRef>
          </c:cat>
          <c:val>
            <c:numRef>
              <c:f>labour_force_simulation!$G$2:$G$47</c:f>
              <c:numCache>
                <c:formatCode>General</c:formatCode>
                <c:ptCount val="46"/>
                <c:pt idx="0">
                  <c:v>0.63151313047102897</c:v>
                </c:pt>
                <c:pt idx="1">
                  <c:v>0.63208160266734403</c:v>
                </c:pt>
                <c:pt idx="2">
                  <c:v>0.63554044816510702</c:v>
                </c:pt>
                <c:pt idx="3">
                  <c:v>0.63241879474551499</c:v>
                </c:pt>
                <c:pt idx="4">
                  <c:v>0.62812138058837097</c:v>
                </c:pt>
                <c:pt idx="5">
                  <c:v>0.62385896324709</c:v>
                </c:pt>
                <c:pt idx="6">
                  <c:v>0.61926205827593395</c:v>
                </c:pt>
                <c:pt idx="7">
                  <c:v>0.61151539530461496</c:v>
                </c:pt>
                <c:pt idx="8">
                  <c:v>0.60716465219648597</c:v>
                </c:pt>
                <c:pt idx="9">
                  <c:v>0.60352739134780498</c:v>
                </c:pt>
                <c:pt idx="10">
                  <c:v>0.603281721951617</c:v>
                </c:pt>
                <c:pt idx="11">
                  <c:v>0.60326254232071397</c:v>
                </c:pt>
                <c:pt idx="12">
                  <c:v>0.60357594365179701</c:v>
                </c:pt>
                <c:pt idx="13">
                  <c:v>0.60176001731164497</c:v>
                </c:pt>
                <c:pt idx="14">
                  <c:v>0.59898577746552395</c:v>
                </c:pt>
                <c:pt idx="15">
                  <c:v>0.59611339816995301</c:v>
                </c:pt>
                <c:pt idx="16">
                  <c:v>0.59354443934526502</c:v>
                </c:pt>
                <c:pt idx="17">
                  <c:v>0.59119644111449299</c:v>
                </c:pt>
                <c:pt idx="18">
                  <c:v>0.59383556708459395</c:v>
                </c:pt>
                <c:pt idx="19">
                  <c:v>0.595383950127923</c:v>
                </c:pt>
                <c:pt idx="20">
                  <c:v>0.59573052298395801</c:v>
                </c:pt>
                <c:pt idx="21">
                  <c:v>0.60036140354031597</c:v>
                </c:pt>
                <c:pt idx="22">
                  <c:v>0.60497133305774697</c:v>
                </c:pt>
                <c:pt idx="23">
                  <c:v>0.615496603041087</c:v>
                </c:pt>
                <c:pt idx="24">
                  <c:v>0.62104657849338696</c:v>
                </c:pt>
                <c:pt idx="25">
                  <c:v>0.62116384973990602</c:v>
                </c:pt>
                <c:pt idx="26">
                  <c:v>0.62374136451889595</c:v>
                </c:pt>
                <c:pt idx="27">
                  <c:v>0.62482460190289901</c:v>
                </c:pt>
                <c:pt idx="28">
                  <c:v>0.62836869135981699</c:v>
                </c:pt>
                <c:pt idx="29">
                  <c:v>0.63286302977376296</c:v>
                </c:pt>
                <c:pt idx="30">
                  <c:v>0.63888204763338097</c:v>
                </c:pt>
                <c:pt idx="31">
                  <c:v>0.64467479231399905</c:v>
                </c:pt>
                <c:pt idx="32">
                  <c:v>0.65231465634782804</c:v>
                </c:pt>
                <c:pt idx="33">
                  <c:v>0.66112044900899203</c:v>
                </c:pt>
                <c:pt idx="34">
                  <c:v>0.66895153064074597</c:v>
                </c:pt>
                <c:pt idx="35">
                  <c:v>0.67617640454346895</c:v>
                </c:pt>
                <c:pt idx="36">
                  <c:v>0.68261595410904397</c:v>
                </c:pt>
                <c:pt idx="37">
                  <c:v>0.68826160753108101</c:v>
                </c:pt>
                <c:pt idx="38">
                  <c:v>0.69334534765563105</c:v>
                </c:pt>
                <c:pt idx="39">
                  <c:v>0.69794956398321095</c:v>
                </c:pt>
                <c:pt idx="40">
                  <c:v>0.70224070138956596</c:v>
                </c:pt>
                <c:pt idx="41">
                  <c:v>0.70607590566901501</c:v>
                </c:pt>
                <c:pt idx="42">
                  <c:v>0.710033093493183</c:v>
                </c:pt>
                <c:pt idx="43">
                  <c:v>0.71341140662142499</c:v>
                </c:pt>
                <c:pt idx="44">
                  <c:v>0.71653101118153395</c:v>
                </c:pt>
                <c:pt idx="45">
                  <c:v>0.71935391321216602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82-4DD8-8C57-367BBF118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1244608"/>
        <c:axId val="1571245088"/>
      </c:line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labour_force_simulation!$I$2:$I$47</c:f>
              <c:numCache>
                <c:formatCode>General</c:formatCode>
                <c:ptCount val="46"/>
                <c:pt idx="0">
                  <c:v>3.1353135313531302E-2</c:v>
                </c:pt>
                <c:pt idx="1">
                  <c:v>3.3527045149754103E-2</c:v>
                </c:pt>
                <c:pt idx="2">
                  <c:v>3.3888315898040297E-2</c:v>
                </c:pt>
                <c:pt idx="3">
                  <c:v>4.1071691447077799E-2</c:v>
                </c:pt>
                <c:pt idx="4">
                  <c:v>4.6762059300781797E-2</c:v>
                </c:pt>
                <c:pt idx="5">
                  <c:v>4.7295300029559499E-2</c:v>
                </c:pt>
                <c:pt idx="6">
                  <c:v>5.0355450236966803E-2</c:v>
                </c:pt>
                <c:pt idx="7">
                  <c:v>5.3670204813873502E-2</c:v>
                </c:pt>
                <c:pt idx="8">
                  <c:v>5.2505250525052498E-2</c:v>
                </c:pt>
                <c:pt idx="9">
                  <c:v>4.7124360132490203E-2</c:v>
                </c:pt>
                <c:pt idx="10">
                  <c:v>4.4354232446248601E-2</c:v>
                </c:pt>
                <c:pt idx="11">
                  <c:v>4.1266506602641001E-2</c:v>
                </c:pt>
                <c:pt idx="12">
                  <c:v>3.84500299222022E-2</c:v>
                </c:pt>
                <c:pt idx="13">
                  <c:v>3.9706323044650799E-2</c:v>
                </c:pt>
                <c:pt idx="14">
                  <c:v>5.05263157894736E-2</c:v>
                </c:pt>
                <c:pt idx="15">
                  <c:v>5.0361881785283398E-2</c:v>
                </c:pt>
                <c:pt idx="16">
                  <c:v>4.5936931473620303E-2</c:v>
                </c:pt>
                <c:pt idx="17">
                  <c:v>4.3412033511043398E-2</c:v>
                </c:pt>
                <c:pt idx="18">
                  <c:v>4.0497497345669597E-2</c:v>
                </c:pt>
                <c:pt idx="19">
                  <c:v>3.6011499470419102E-2</c:v>
                </c:pt>
                <c:pt idx="20">
                  <c:v>3.3660377358490499E-2</c:v>
                </c:pt>
                <c:pt idx="21">
                  <c:v>3.11470500149745E-2</c:v>
                </c:pt>
                <c:pt idx="22">
                  <c:v>2.82234105763517E-2</c:v>
                </c:pt>
                <c:pt idx="23">
                  <c:v>2.43831216235946E-2</c:v>
                </c:pt>
                <c:pt idx="24">
                  <c:v>2.34375E-2</c:v>
                </c:pt>
                <c:pt idx="25">
                  <c:v>2.7818023761228598E-2</c:v>
                </c:pt>
                <c:pt idx="26">
                  <c:v>2.8087447517011699E-2</c:v>
                </c:pt>
                <c:pt idx="27">
                  <c:v>2.5934511735728701E-2</c:v>
                </c:pt>
                <c:pt idx="28">
                  <c:v>2.5703971119133501E-2</c:v>
                </c:pt>
                <c:pt idx="29">
                  <c:v>2.5298260744573801E-2</c:v>
                </c:pt>
                <c:pt idx="30">
                  <c:v>2.51284980011422E-2</c:v>
                </c:pt>
                <c:pt idx="31">
                  <c:v>2.2791292000568099E-2</c:v>
                </c:pt>
                <c:pt idx="32">
                  <c:v>2.1126384134101499E-2</c:v>
                </c:pt>
                <c:pt idx="33">
                  <c:v>2.1121205375515598E-2</c:v>
                </c:pt>
                <c:pt idx="34">
                  <c:v>2.1520012415980599E-2</c:v>
                </c:pt>
                <c:pt idx="35">
                  <c:v>2.2281853059728299E-2</c:v>
                </c:pt>
                <c:pt idx="36">
                  <c:v>2.32299938698564E-2</c:v>
                </c:pt>
                <c:pt idx="37">
                  <c:v>2.4147574304665499E-2</c:v>
                </c:pt>
                <c:pt idx="38">
                  <c:v>2.4964550552993601E-2</c:v>
                </c:pt>
                <c:pt idx="39">
                  <c:v>2.5700601341285899E-2</c:v>
                </c:pt>
                <c:pt idx="40">
                  <c:v>2.6352282904573601E-2</c:v>
                </c:pt>
                <c:pt idx="41">
                  <c:v>2.7082132290445499E-2</c:v>
                </c:pt>
                <c:pt idx="42">
                  <c:v>2.8129745152489099E-2</c:v>
                </c:pt>
                <c:pt idx="43">
                  <c:v>2.8779892348246201E-2</c:v>
                </c:pt>
                <c:pt idx="44">
                  <c:v>2.9355192885087901E-2</c:v>
                </c:pt>
                <c:pt idx="45">
                  <c:v>2.9813818209167401E-2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82-4DD8-8C57-367BBF118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1433616"/>
        <c:axId val="1693861760"/>
      </c:lineChart>
      <c:catAx>
        <c:axId val="1571244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71245088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15712450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71244608"/>
        <c:crosses val="autoZero"/>
        <c:crossBetween val="between"/>
      </c:valAx>
      <c:valAx>
        <c:axId val="1693861760"/>
        <c:scaling>
          <c:orientation val="minMax"/>
          <c:max val="0.25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81433616"/>
        <c:crosses val="max"/>
        <c:crossBetween val="between"/>
      </c:valAx>
      <c:catAx>
        <c:axId val="1681433616"/>
        <c:scaling>
          <c:orientation val="minMax"/>
        </c:scaling>
        <c:delete val="1"/>
        <c:axPos val="b"/>
        <c:majorTickMark val="out"/>
        <c:minorTickMark val="none"/>
        <c:tickLblPos val="nextTo"/>
        <c:crossAx val="16938617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labour_force_simulation!$A$2:$A$47</c:f>
              <c:numCache>
                <c:formatCode>General</c:formatCode>
                <c:ptCount val="4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</c:numCache>
            </c:numRef>
          </c:cat>
          <c:val>
            <c:numRef>
              <c:f>labour_force_simulation!$P$2:$P$47</c:f>
              <c:numCache>
                <c:formatCode>General</c:formatCode>
                <c:ptCount val="46"/>
                <c:pt idx="0">
                  <c:v>100</c:v>
                </c:pt>
                <c:pt idx="1">
                  <c:v>103.06422584889465</c:v>
                </c:pt>
                <c:pt idx="2">
                  <c:v>104.45810378552184</c:v>
                </c:pt>
                <c:pt idx="3">
                  <c:v>102.60455600521566</c:v>
                </c:pt>
                <c:pt idx="4">
                  <c:v>102.24441455441335</c:v>
                </c:pt>
                <c:pt idx="5">
                  <c:v>105.26756730294369</c:v>
                </c:pt>
                <c:pt idx="6">
                  <c:v>105.57106538604948</c:v>
                </c:pt>
                <c:pt idx="7">
                  <c:v>105.66559686234504</c:v>
                </c:pt>
                <c:pt idx="8">
                  <c:v>107.15380395969791</c:v>
                </c:pt>
                <c:pt idx="9">
                  <c:v>109.4138939686414</c:v>
                </c:pt>
                <c:pt idx="10">
                  <c:v>111.38548314503277</c:v>
                </c:pt>
                <c:pt idx="11">
                  <c:v>113.15965075006372</c:v>
                </c:pt>
                <c:pt idx="12">
                  <c:v>115.14376948695136</c:v>
                </c:pt>
                <c:pt idx="13">
                  <c:v>113.80169099073602</c:v>
                </c:pt>
                <c:pt idx="14">
                  <c:v>106.98248359288895</c:v>
                </c:pt>
                <c:pt idx="15">
                  <c:v>111.4478472441502</c:v>
                </c:pt>
                <c:pt idx="16">
                  <c:v>111.21449606373157</c:v>
                </c:pt>
                <c:pt idx="17">
                  <c:v>112.98866291562295</c:v>
                </c:pt>
                <c:pt idx="18">
                  <c:v>115.28524034841119</c:v>
                </c:pt>
                <c:pt idx="19">
                  <c:v>116.36350265024547</c:v>
                </c:pt>
                <c:pt idx="20">
                  <c:v>118.43258286778007</c:v>
                </c:pt>
                <c:pt idx="21">
                  <c:v>119.23170459257688</c:v>
                </c:pt>
                <c:pt idx="22">
                  <c:v>121.19364165596625</c:v>
                </c:pt>
                <c:pt idx="23">
                  <c:v>122.18341768984907</c:v>
                </c:pt>
                <c:pt idx="24">
                  <c:v>121.88907829368263</c:v>
                </c:pt>
                <c:pt idx="25">
                  <c:v>116.56737553142256</c:v>
                </c:pt>
                <c:pt idx="26">
                  <c:v>120.78943917774608</c:v>
                </c:pt>
                <c:pt idx="27">
                  <c:v>122.31874595561472</c:v>
                </c:pt>
                <c:pt idx="28">
                  <c:v>123.31337807063348</c:v>
                </c:pt>
                <c:pt idx="29">
                  <c:v>122.97681401031085</c:v>
                </c:pt>
                <c:pt idx="30">
                  <c:v>124.45873638773175</c:v>
                </c:pt>
                <c:pt idx="31">
                  <c:v>126.1669935538377</c:v>
                </c:pt>
                <c:pt idx="32">
                  <c:v>126.79096484272354</c:v>
                </c:pt>
                <c:pt idx="33">
                  <c:v>127.42051282006256</c:v>
                </c:pt>
                <c:pt idx="34">
                  <c:v>128.0531866835407</c:v>
                </c:pt>
                <c:pt idx="35">
                  <c:v>128.6890018752074</c:v>
                </c:pt>
                <c:pt idx="36">
                  <c:v>129.32797413466147</c:v>
                </c:pt>
                <c:pt idx="37">
                  <c:v>129.97011896045797</c:v>
                </c:pt>
                <c:pt idx="38">
                  <c:v>130.6154522689163</c:v>
                </c:pt>
                <c:pt idx="39">
                  <c:v>131.13428217856426</c:v>
                </c:pt>
                <c:pt idx="40">
                  <c:v>131.65517314542257</c:v>
                </c:pt>
                <c:pt idx="41">
                  <c:v>132.15709091303094</c:v>
                </c:pt>
                <c:pt idx="42">
                  <c:v>132.64058383277808</c:v>
                </c:pt>
                <c:pt idx="43">
                  <c:v>133.10739848380834</c:v>
                </c:pt>
                <c:pt idx="44">
                  <c:v>133.55701394789875</c:v>
                </c:pt>
                <c:pt idx="45">
                  <c:v>133.99008681877748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CB-4048-87DB-71FD870DA489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labour_force_simulation!$A$2:$A$47</c:f>
              <c:numCache>
                <c:formatCode>General</c:formatCode>
                <c:ptCount val="4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</c:numCache>
            </c:numRef>
          </c:cat>
          <c:val>
            <c:numRef>
              <c:f>labour_force_simulation!$Q$2:$Q$47</c:f>
              <c:numCache>
                <c:formatCode>General</c:formatCode>
                <c:ptCount val="46"/>
                <c:pt idx="0">
                  <c:v>100</c:v>
                </c:pt>
                <c:pt idx="1">
                  <c:v>100.44912498064116</c:v>
                </c:pt>
                <c:pt idx="2">
                  <c:v>101.54870682979711</c:v>
                </c:pt>
                <c:pt idx="3">
                  <c:v>100.88276289298437</c:v>
                </c:pt>
                <c:pt idx="4">
                  <c:v>100.07743534148985</c:v>
                </c:pt>
                <c:pt idx="5">
                  <c:v>99.829642248722323</c:v>
                </c:pt>
                <c:pt idx="6">
                  <c:v>99.30308192659129</c:v>
                </c:pt>
                <c:pt idx="7">
                  <c:v>98.033142326157659</c:v>
                </c:pt>
                <c:pt idx="8">
                  <c:v>97.816323369986051</c:v>
                </c:pt>
                <c:pt idx="9">
                  <c:v>98.017655257859687</c:v>
                </c:pt>
                <c:pt idx="10">
                  <c:v>98.435806101904916</c:v>
                </c:pt>
                <c:pt idx="11">
                  <c:v>98.946879355737963</c:v>
                </c:pt>
                <c:pt idx="12">
                  <c:v>99.535387951060855</c:v>
                </c:pt>
                <c:pt idx="13">
                  <c:v>99.256620721697388</c:v>
                </c:pt>
                <c:pt idx="14">
                  <c:v>97.785349233390122</c:v>
                </c:pt>
                <c:pt idx="15">
                  <c:v>97.537556140622584</c:v>
                </c:pt>
                <c:pt idx="16">
                  <c:v>97.460120799132724</c:v>
                </c:pt>
                <c:pt idx="17">
                  <c:v>97.258788911259103</c:v>
                </c:pt>
                <c:pt idx="18">
                  <c:v>97.971194052965771</c:v>
                </c:pt>
                <c:pt idx="19">
                  <c:v>98.668112126374467</c:v>
                </c:pt>
                <c:pt idx="20">
                  <c:v>99.148211243611584</c:v>
                </c:pt>
                <c:pt idx="21">
                  <c:v>100.20133188787364</c:v>
                </c:pt>
                <c:pt idx="22">
                  <c:v>101.31640080532756</c:v>
                </c:pt>
                <c:pt idx="23">
                  <c:v>103.48459036704352</c:v>
                </c:pt>
                <c:pt idx="24">
                  <c:v>104.53771101130556</c:v>
                </c:pt>
                <c:pt idx="25">
                  <c:v>103.91822827938671</c:v>
                </c:pt>
                <c:pt idx="26">
                  <c:v>103.96468948428061</c:v>
                </c:pt>
                <c:pt idx="27">
                  <c:v>104.11956016726035</c:v>
                </c:pt>
                <c:pt idx="28">
                  <c:v>104.49124980641164</c:v>
                </c:pt>
                <c:pt idx="29">
                  <c:v>105.01781012854268</c:v>
                </c:pt>
                <c:pt idx="30">
                  <c:v>105.74570233854732</c:v>
                </c:pt>
                <c:pt idx="31">
                  <c:v>106.97474714431966</c:v>
                </c:pt>
                <c:pt idx="32">
                  <c:v>108.16044818709463</c:v>
                </c:pt>
                <c:pt idx="33">
                  <c:v>109.15854372028791</c:v>
                </c:pt>
                <c:pt idx="34">
                  <c:v>109.932111424987</c:v>
                </c:pt>
                <c:pt idx="35">
                  <c:v>110.50279470211973</c:v>
                </c:pt>
                <c:pt idx="36">
                  <c:v>110.89483693365727</c:v>
                </c:pt>
                <c:pt idx="37">
                  <c:v>111.13562661937169</c:v>
                </c:pt>
                <c:pt idx="38">
                  <c:v>111.25269801177855</c:v>
                </c:pt>
                <c:pt idx="39">
                  <c:v>111.24439224909619</c:v>
                </c:pt>
                <c:pt idx="40">
                  <c:v>111.13264667451215</c:v>
                </c:pt>
                <c:pt idx="41">
                  <c:v>110.93016410327148</c:v>
                </c:pt>
                <c:pt idx="42">
                  <c:v>110.65192907937771</c:v>
                </c:pt>
                <c:pt idx="43">
                  <c:v>110.31883124408937</c:v>
                </c:pt>
                <c:pt idx="44">
                  <c:v>109.94231484890491</c:v>
                </c:pt>
                <c:pt idx="45">
                  <c:v>109.53185972302153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CB-4048-87DB-71FD870DA489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labour_force_simulation!$A$2:$A$47</c:f>
              <c:numCache>
                <c:formatCode>General</c:formatCode>
                <c:ptCount val="4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</c:numCache>
            </c:numRef>
          </c:cat>
          <c:val>
            <c:numRef>
              <c:f>labour_force_simulation!$R$2:$R$47</c:f>
              <c:numCache>
                <c:formatCode>General</c:formatCode>
                <c:ptCount val="46"/>
                <c:pt idx="0">
                  <c:v>100</c:v>
                </c:pt>
                <c:pt idx="1">
                  <c:v>97.462649288136532</c:v>
                </c:pt>
                <c:pt idx="2">
                  <c:v>97.214771424820768</c:v>
                </c:pt>
                <c:pt idx="3">
                  <c:v>98.321913588180479</c:v>
                </c:pt>
                <c:pt idx="4">
                  <c:v>97.880589152603278</c:v>
                </c:pt>
                <c:pt idx="5">
                  <c:v>94.834187591158198</c:v>
                </c:pt>
                <c:pt idx="6">
                  <c:v>94.062782793242079</c:v>
                </c:pt>
                <c:pt idx="7">
                  <c:v>92.776783775583553</c:v>
                </c:pt>
                <c:pt idx="8">
                  <c:v>91.28590843753544</c:v>
                </c:pt>
                <c:pt idx="9">
                  <c:v>89.584285599004517</c:v>
                </c:pt>
                <c:pt idx="10">
                  <c:v>88.373999306295289</c:v>
                </c:pt>
                <c:pt idx="11">
                  <c:v>87.440071350416616</c:v>
                </c:pt>
                <c:pt idx="12">
                  <c:v>86.444441062302275</c:v>
                </c:pt>
                <c:pt idx="13">
                  <c:v>87.218933091053401</c:v>
                </c:pt>
                <c:pt idx="14">
                  <c:v>91.403139980842468</c:v>
                </c:pt>
                <c:pt idx="15">
                  <c:v>87.518564559570038</c:v>
                </c:pt>
                <c:pt idx="16">
                  <c:v>87.63256971760508</c:v>
                </c:pt>
                <c:pt idx="17">
                  <c:v>86.07836078553251</c:v>
                </c:pt>
                <c:pt idx="18">
                  <c:v>84.981558573222827</c:v>
                </c:pt>
                <c:pt idx="19">
                  <c:v>84.793006294200211</c:v>
                </c:pt>
                <c:pt idx="20">
                  <c:v>83.717004934615119</c:v>
                </c:pt>
                <c:pt idx="21">
                  <c:v>84.039167459920691</c:v>
                </c:pt>
                <c:pt idx="22">
                  <c:v>83.598775827642484</c:v>
                </c:pt>
                <c:pt idx="23">
                  <c:v>84.69610060321709</c:v>
                </c:pt>
                <c:pt idx="24">
                  <c:v>85.76462507939371</c:v>
                </c:pt>
                <c:pt idx="25">
                  <c:v>89.148638549706334</c:v>
                </c:pt>
                <c:pt idx="26">
                  <c:v>86.071009346514785</c:v>
                </c:pt>
                <c:pt idx="27">
                  <c:v>85.12150721774222</c:v>
                </c:pt>
                <c:pt idx="28">
                  <c:v>84.73634527030751</c:v>
                </c:pt>
                <c:pt idx="29">
                  <c:v>85.396431005065381</c:v>
                </c:pt>
                <c:pt idx="30">
                  <c:v>84.964467266575085</c:v>
                </c:pt>
                <c:pt idx="31">
                  <c:v>84.78821927279391</c:v>
                </c:pt>
                <c:pt idx="32">
                  <c:v>85.306116505431646</c:v>
                </c:pt>
                <c:pt idx="33">
                  <c:v>85.667951968170641</c:v>
                </c:pt>
                <c:pt idx="34">
                  <c:v>85.848790078659647</c:v>
                </c:pt>
                <c:pt idx="35">
                  <c:v>85.868095246613819</c:v>
                </c:pt>
                <c:pt idx="36">
                  <c:v>85.746983725415134</c:v>
                </c:pt>
                <c:pt idx="37">
                  <c:v>85.508598059515151</c:v>
                </c:pt>
                <c:pt idx="38">
                  <c:v>85.175755302463799</c:v>
                </c:pt>
                <c:pt idx="39">
                  <c:v>84.832425511443148</c:v>
                </c:pt>
                <c:pt idx="40">
                  <c:v>84.411910310397133</c:v>
                </c:pt>
                <c:pt idx="41">
                  <c:v>83.938109818315894</c:v>
                </c:pt>
                <c:pt idx="42">
                  <c:v>83.42237788916718</c:v>
                </c:pt>
                <c:pt idx="43">
                  <c:v>82.879563796379756</c:v>
                </c:pt>
                <c:pt idx="44">
                  <c:v>82.318638010126492</c:v>
                </c:pt>
                <c:pt idx="45">
                  <c:v>81.746241325422915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CB-4048-87DB-71FD870DA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7933471"/>
        <c:axId val="1527939231"/>
      </c:lineChart>
      <c:catAx>
        <c:axId val="1527933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27939231"/>
        <c:crosses val="autoZero"/>
        <c:auto val="1"/>
        <c:lblAlgn val="ctr"/>
        <c:lblOffset val="100"/>
        <c:noMultiLvlLbl val="0"/>
      </c:catAx>
      <c:valAx>
        <c:axId val="1527939231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27933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24</xdr:row>
      <xdr:rowOff>0</xdr:rowOff>
    </xdr:from>
    <xdr:to>
      <xdr:col>26</xdr:col>
      <xdr:colOff>304800</xdr:colOff>
      <xdr:row>41</xdr:row>
      <xdr:rowOff>22860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3BF71351-E229-416D-A6EA-0B7E9A1D0B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7620</xdr:colOff>
      <xdr:row>48</xdr:row>
      <xdr:rowOff>60960</xdr:rowOff>
    </xdr:from>
    <xdr:to>
      <xdr:col>26</xdr:col>
      <xdr:colOff>312420</xdr:colOff>
      <xdr:row>65</xdr:row>
      <xdr:rowOff>83820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09EDE8F7-D4FD-42AA-9EE0-C43A744D8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27</xdr:col>
      <xdr:colOff>0</xdr:colOff>
      <xdr:row>24</xdr:row>
      <xdr:rowOff>0</xdr:rowOff>
    </xdr:from>
    <xdr:to>
      <xdr:col>34</xdr:col>
      <xdr:colOff>304800</xdr:colOff>
      <xdr:row>41</xdr:row>
      <xdr:rowOff>22860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EA61F6E7-2903-4D87-B1E7-F9E755F767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514350</xdr:colOff>
      <xdr:row>50</xdr:row>
      <xdr:rowOff>121920</xdr:rowOff>
    </xdr:from>
    <xdr:to>
      <xdr:col>15</xdr:col>
      <xdr:colOff>209550</xdr:colOff>
      <xdr:row>67</xdr:row>
      <xdr:rowOff>144780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8C2A7E3-4534-9CA2-9DDC-56FC5F23A2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8CA2-AA7C-4999-820F-D84672938E40}">
  <dimension ref="A1:AB48"/>
  <sheetViews>
    <sheetView tabSelected="1" workbookViewId="0">
      <pane xSplit="2" ySplit="1" topLeftCell="D46" activePane="bottomRight" state="frozen"/>
      <selection pane="topRight" activeCell="C1" sqref="C1"/>
      <selection pane="bottomLeft" activeCell="A2" sqref="A2"/>
      <selection pane="bottomRight" activeCell="E72" sqref="E72"/>
    </sheetView>
  </sheetViews>
  <sheetFormatPr defaultRowHeight="12.6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4" t="s">
        <v>22</v>
      </c>
      <c r="Q1" s="4" t="s">
        <v>23</v>
      </c>
      <c r="R1" s="4" t="s">
        <v>24</v>
      </c>
      <c r="S1" s="4"/>
    </row>
    <row r="2" spans="1:19" x14ac:dyDescent="0.25">
      <c r="A2">
        <v>1995</v>
      </c>
      <c r="B2" t="s">
        <v>15</v>
      </c>
      <c r="C2">
        <v>105556</v>
      </c>
      <c r="D2">
        <v>475325.44802867301</v>
      </c>
      <c r="E2">
        <v>1.1159999999999899</v>
      </c>
      <c r="F2">
        <v>0.95899999999999996</v>
      </c>
      <c r="G2">
        <v>0.63151313047102897</v>
      </c>
      <c r="H2">
        <v>0</v>
      </c>
      <c r="I2">
        <v>3.1353135313531302E-2</v>
      </c>
      <c r="J2">
        <v>0.93293718169999995</v>
      </c>
      <c r="K2">
        <v>66660</v>
      </c>
      <c r="L2">
        <v>64570</v>
      </c>
      <c r="M2">
        <v>0.135843768238777</v>
      </c>
      <c r="N2">
        <v>64570</v>
      </c>
      <c r="O2">
        <v>2090</v>
      </c>
      <c r="P2">
        <f>D2/D$2*100</f>
        <v>100</v>
      </c>
      <c r="Q2">
        <f>L2/L$2*100</f>
        <v>100</v>
      </c>
      <c r="R2">
        <f>Q2/P2*100</f>
        <v>100</v>
      </c>
    </row>
    <row r="3" spans="1:19" x14ac:dyDescent="0.25">
      <c r="A3">
        <v>1996</v>
      </c>
      <c r="B3" t="s">
        <v>15</v>
      </c>
      <c r="C3">
        <v>106173</v>
      </c>
      <c r="D3">
        <v>489890.49327354197</v>
      </c>
      <c r="E3">
        <v>1.115</v>
      </c>
      <c r="F3">
        <v>0.96</v>
      </c>
      <c r="G3">
        <v>0.63208160266734403</v>
      </c>
      <c r="H3">
        <v>0</v>
      </c>
      <c r="I3">
        <v>3.3527045149754103E-2</v>
      </c>
      <c r="J3">
        <v>0.9423240034</v>
      </c>
      <c r="K3">
        <v>67110</v>
      </c>
      <c r="L3">
        <v>64860</v>
      </c>
      <c r="M3">
        <v>0.13239693541834799</v>
      </c>
      <c r="N3">
        <v>64860</v>
      </c>
      <c r="O3">
        <v>2250</v>
      </c>
      <c r="P3">
        <f t="shared" ref="P3:P47" si="0">D3/D$2*100</f>
        <v>103.06422584889465</v>
      </c>
      <c r="Q3">
        <f t="shared" ref="Q3:Q47" si="1">L3/L$2*100</f>
        <v>100.44912498064116</v>
      </c>
      <c r="R3">
        <f t="shared" ref="R3:R47" si="2">Q3/P3*100</f>
        <v>97.462649288136532</v>
      </c>
    </row>
    <row r="4" spans="1:19" x14ac:dyDescent="0.25">
      <c r="A4">
        <v>1997</v>
      </c>
      <c r="B4" t="s">
        <v>15</v>
      </c>
      <c r="C4">
        <v>106791</v>
      </c>
      <c r="D4">
        <v>496515.949820788</v>
      </c>
      <c r="E4">
        <v>1.1159999999999899</v>
      </c>
      <c r="F4">
        <v>0.97699999999999998</v>
      </c>
      <c r="G4">
        <v>0.63554044816510702</v>
      </c>
      <c r="H4">
        <v>0</v>
      </c>
      <c r="I4">
        <v>3.3888315898040297E-2</v>
      </c>
      <c r="J4">
        <v>0.97076526230000004</v>
      </c>
      <c r="K4">
        <v>67870</v>
      </c>
      <c r="L4">
        <v>65570</v>
      </c>
      <c r="M4">
        <v>0.13206020878819</v>
      </c>
      <c r="N4">
        <v>65570</v>
      </c>
      <c r="O4">
        <v>2300</v>
      </c>
      <c r="P4">
        <f t="shared" si="0"/>
        <v>104.45810378552184</v>
      </c>
      <c r="Q4">
        <f t="shared" si="1"/>
        <v>101.54870682979711</v>
      </c>
      <c r="R4">
        <f t="shared" si="2"/>
        <v>97.214771424820768</v>
      </c>
    </row>
    <row r="5" spans="1:19" x14ac:dyDescent="0.25">
      <c r="A5">
        <v>1998</v>
      </c>
      <c r="B5" t="s">
        <v>15</v>
      </c>
      <c r="C5">
        <v>107413</v>
      </c>
      <c r="D5">
        <v>487705.56552962202</v>
      </c>
      <c r="E5">
        <v>1.1140000000000001</v>
      </c>
      <c r="F5">
        <v>0.98299999999999998</v>
      </c>
      <c r="G5">
        <v>0.63241879474551499</v>
      </c>
      <c r="H5">
        <v>0</v>
      </c>
      <c r="I5">
        <v>4.1071691447077799E-2</v>
      </c>
      <c r="J5">
        <v>0.96869565219999998</v>
      </c>
      <c r="K5">
        <v>67930</v>
      </c>
      <c r="L5">
        <v>65140</v>
      </c>
      <c r="M5">
        <v>0.13356419242265799</v>
      </c>
      <c r="N5">
        <v>65140</v>
      </c>
      <c r="O5">
        <v>2790</v>
      </c>
      <c r="P5">
        <f t="shared" si="0"/>
        <v>102.60455600521566</v>
      </c>
      <c r="Q5">
        <f t="shared" si="1"/>
        <v>100.88276289298437</v>
      </c>
      <c r="R5">
        <f t="shared" si="2"/>
        <v>98.321913588180479</v>
      </c>
    </row>
    <row r="6" spans="1:19" x14ac:dyDescent="0.25">
      <c r="A6">
        <v>1999</v>
      </c>
      <c r="B6" t="s">
        <v>15</v>
      </c>
      <c r="C6">
        <v>107925</v>
      </c>
      <c r="D6">
        <v>485993.72156505898</v>
      </c>
      <c r="E6">
        <v>1.099</v>
      </c>
      <c r="F6">
        <v>0.98</v>
      </c>
      <c r="G6">
        <v>0.62812138058837097</v>
      </c>
      <c r="H6">
        <v>0</v>
      </c>
      <c r="I6">
        <v>4.6762059300781797E-2</v>
      </c>
      <c r="J6">
        <v>0.96481970100000003</v>
      </c>
      <c r="K6">
        <v>67790</v>
      </c>
      <c r="L6">
        <v>64620</v>
      </c>
      <c r="M6">
        <v>0.13296468067921199</v>
      </c>
      <c r="N6">
        <v>64620</v>
      </c>
      <c r="O6">
        <v>3170</v>
      </c>
      <c r="P6">
        <f t="shared" si="0"/>
        <v>102.24441455441335</v>
      </c>
      <c r="Q6">
        <f t="shared" si="1"/>
        <v>100.07743534148985</v>
      </c>
      <c r="R6">
        <f t="shared" si="2"/>
        <v>97.880589152603278</v>
      </c>
    </row>
    <row r="7" spans="1:19" x14ac:dyDescent="0.25">
      <c r="A7">
        <v>2000</v>
      </c>
      <c r="B7" t="s">
        <v>15</v>
      </c>
      <c r="C7">
        <v>108454</v>
      </c>
      <c r="D7">
        <v>500363.53591160203</v>
      </c>
      <c r="E7">
        <v>1.0859999999999901</v>
      </c>
      <c r="F7">
        <v>0.97299999999999998</v>
      </c>
      <c r="G7">
        <v>0.62385896324709</v>
      </c>
      <c r="H7">
        <v>0</v>
      </c>
      <c r="I7">
        <v>4.7295300029559499E-2</v>
      </c>
      <c r="J7">
        <v>0.95895196510000003</v>
      </c>
      <c r="K7">
        <v>67660</v>
      </c>
      <c r="L7">
        <v>64460</v>
      </c>
      <c r="M7">
        <v>0.12882633400245999</v>
      </c>
      <c r="N7">
        <v>64460</v>
      </c>
      <c r="O7">
        <v>3200</v>
      </c>
      <c r="P7">
        <f t="shared" si="0"/>
        <v>105.26756730294369</v>
      </c>
      <c r="Q7">
        <f t="shared" si="1"/>
        <v>99.829642248722323</v>
      </c>
      <c r="R7">
        <f t="shared" si="2"/>
        <v>94.834187591158198</v>
      </c>
    </row>
    <row r="8" spans="1:19" x14ac:dyDescent="0.25">
      <c r="A8">
        <v>2001</v>
      </c>
      <c r="B8" t="s">
        <v>15</v>
      </c>
      <c r="C8">
        <v>109033</v>
      </c>
      <c r="D8">
        <v>501806.13953488303</v>
      </c>
      <c r="E8">
        <v>1.075</v>
      </c>
      <c r="F8">
        <v>0.96699999999999997</v>
      </c>
      <c r="G8">
        <v>0.61926205827593395</v>
      </c>
      <c r="H8">
        <v>0</v>
      </c>
      <c r="I8">
        <v>5.0355450236966803E-2</v>
      </c>
      <c r="J8">
        <v>0.95410414829999901</v>
      </c>
      <c r="K8">
        <v>67520</v>
      </c>
      <c r="L8">
        <v>64120</v>
      </c>
      <c r="M8">
        <v>0.127778428656596</v>
      </c>
      <c r="N8">
        <v>64120</v>
      </c>
      <c r="O8">
        <v>3400</v>
      </c>
      <c r="P8">
        <f t="shared" si="0"/>
        <v>105.57106538604948</v>
      </c>
      <c r="Q8">
        <f t="shared" si="1"/>
        <v>99.30308192659129</v>
      </c>
      <c r="R8">
        <f t="shared" si="2"/>
        <v>94.062782793242079</v>
      </c>
    </row>
    <row r="9" spans="1:19" x14ac:dyDescent="0.25">
      <c r="A9">
        <v>2002</v>
      </c>
      <c r="B9" t="s">
        <v>15</v>
      </c>
      <c r="C9">
        <v>109384</v>
      </c>
      <c r="D9">
        <v>502255.47169811302</v>
      </c>
      <c r="E9">
        <v>1.06</v>
      </c>
      <c r="F9">
        <v>0.95799999999999996</v>
      </c>
      <c r="G9">
        <v>0.61151539530461496</v>
      </c>
      <c r="H9">
        <v>0</v>
      </c>
      <c r="I9">
        <v>5.3670204813873502E-2</v>
      </c>
      <c r="J9">
        <v>0.93493761139999998</v>
      </c>
      <c r="K9">
        <v>66890</v>
      </c>
      <c r="L9">
        <v>63300</v>
      </c>
      <c r="M9">
        <v>0.12603147913149501</v>
      </c>
      <c r="N9">
        <v>63300</v>
      </c>
      <c r="O9">
        <v>3590</v>
      </c>
      <c r="P9">
        <f t="shared" si="0"/>
        <v>105.66559686234504</v>
      </c>
      <c r="Q9">
        <f t="shared" si="1"/>
        <v>98.033142326157659</v>
      </c>
      <c r="R9">
        <f t="shared" si="2"/>
        <v>92.776783775583553</v>
      </c>
    </row>
    <row r="10" spans="1:19" x14ac:dyDescent="0.25">
      <c r="A10">
        <v>2003</v>
      </c>
      <c r="B10" t="s">
        <v>15</v>
      </c>
      <c r="C10">
        <v>109789</v>
      </c>
      <c r="D10">
        <v>509329.29875120003</v>
      </c>
      <c r="E10">
        <v>1.0409999999999999</v>
      </c>
      <c r="F10">
        <v>0.95499999999999996</v>
      </c>
      <c r="G10">
        <v>0.60716465219648597</v>
      </c>
      <c r="H10">
        <v>0</v>
      </c>
      <c r="I10">
        <v>5.2505250525052498E-2</v>
      </c>
      <c r="J10">
        <v>0.92780748660000001</v>
      </c>
      <c r="K10">
        <v>66660</v>
      </c>
      <c r="L10">
        <v>63160</v>
      </c>
      <c r="M10">
        <v>0.124006217892547</v>
      </c>
      <c r="N10">
        <v>63160</v>
      </c>
      <c r="O10">
        <v>3500</v>
      </c>
      <c r="P10">
        <f t="shared" si="0"/>
        <v>107.15380395969791</v>
      </c>
      <c r="Q10">
        <f t="shared" si="1"/>
        <v>97.816323369986051</v>
      </c>
      <c r="R10">
        <f t="shared" si="2"/>
        <v>91.28590843753544</v>
      </c>
    </row>
    <row r="11" spans="1:19" x14ac:dyDescent="0.25">
      <c r="A11">
        <v>2004</v>
      </c>
      <c r="B11" t="s">
        <v>15</v>
      </c>
      <c r="C11">
        <v>110053</v>
      </c>
      <c r="D11">
        <v>520072.081712062</v>
      </c>
      <c r="E11">
        <v>1.028</v>
      </c>
      <c r="F11">
        <v>0.95499999999999996</v>
      </c>
      <c r="G11">
        <v>0.60352739134780498</v>
      </c>
      <c r="H11">
        <v>0</v>
      </c>
      <c r="I11">
        <v>4.7124360132490203E-2</v>
      </c>
      <c r="J11">
        <v>0.92170818509999997</v>
      </c>
      <c r="K11">
        <v>66420</v>
      </c>
      <c r="L11">
        <v>63290</v>
      </c>
      <c r="M11">
        <v>0.121694669307475</v>
      </c>
      <c r="N11">
        <v>63290</v>
      </c>
      <c r="O11">
        <v>3130</v>
      </c>
      <c r="P11">
        <f t="shared" si="0"/>
        <v>109.4138939686414</v>
      </c>
      <c r="Q11">
        <f t="shared" si="1"/>
        <v>98.017655257859687</v>
      </c>
      <c r="R11">
        <f t="shared" si="2"/>
        <v>89.584285599004517</v>
      </c>
    </row>
    <row r="12" spans="1:19" x14ac:dyDescent="0.25">
      <c r="A12">
        <v>2005</v>
      </c>
      <c r="B12" t="s">
        <v>15</v>
      </c>
      <c r="C12">
        <v>110247</v>
      </c>
      <c r="D12">
        <v>529443.54679802898</v>
      </c>
      <c r="E12">
        <v>1.0149999999999999</v>
      </c>
      <c r="F12">
        <v>0.95199999999999996</v>
      </c>
      <c r="G12">
        <v>0.603281721951617</v>
      </c>
      <c r="H12">
        <v>0</v>
      </c>
      <c r="I12">
        <v>4.4354232446248601E-2</v>
      </c>
      <c r="J12">
        <v>0.93375111909999997</v>
      </c>
      <c r="K12">
        <v>66510</v>
      </c>
      <c r="L12">
        <v>63560</v>
      </c>
      <c r="M12">
        <v>0.120050570800982</v>
      </c>
      <c r="N12">
        <v>63560</v>
      </c>
      <c r="O12">
        <v>2950</v>
      </c>
      <c r="P12">
        <f t="shared" si="0"/>
        <v>111.38548314503277</v>
      </c>
      <c r="Q12">
        <f t="shared" si="1"/>
        <v>98.435806101904916</v>
      </c>
      <c r="R12">
        <f t="shared" si="2"/>
        <v>88.373999306295289</v>
      </c>
    </row>
    <row r="13" spans="1:19" x14ac:dyDescent="0.25">
      <c r="A13">
        <v>2006</v>
      </c>
      <c r="B13" t="s">
        <v>15</v>
      </c>
      <c r="C13">
        <v>110466</v>
      </c>
      <c r="D13">
        <v>537876.61691542203</v>
      </c>
      <c r="E13">
        <v>1.0049999999999999</v>
      </c>
      <c r="F13">
        <v>0.95499999999999996</v>
      </c>
      <c r="G13">
        <v>0.60326254232071397</v>
      </c>
      <c r="H13">
        <v>0</v>
      </c>
      <c r="I13">
        <v>4.1266506602641001E-2</v>
      </c>
      <c r="J13">
        <v>0.93137254899999999</v>
      </c>
      <c r="K13">
        <v>66640</v>
      </c>
      <c r="L13">
        <v>63890</v>
      </c>
      <c r="M13">
        <v>0.118781887873081</v>
      </c>
      <c r="N13">
        <v>63890</v>
      </c>
      <c r="O13">
        <v>2750</v>
      </c>
      <c r="P13">
        <f t="shared" si="0"/>
        <v>113.15965075006372</v>
      </c>
      <c r="Q13">
        <f t="shared" si="1"/>
        <v>98.946879355737963</v>
      </c>
      <c r="R13">
        <f t="shared" si="2"/>
        <v>87.440071350416616</v>
      </c>
    </row>
    <row r="14" spans="1:19" x14ac:dyDescent="0.25">
      <c r="A14">
        <v>2007</v>
      </c>
      <c r="B14" t="s">
        <v>15</v>
      </c>
      <c r="C14">
        <v>110740</v>
      </c>
      <c r="D14">
        <v>547307.63819095399</v>
      </c>
      <c r="E14">
        <v>0.995</v>
      </c>
      <c r="F14">
        <v>0.95499999999999996</v>
      </c>
      <c r="G14">
        <v>0.60357594365179701</v>
      </c>
      <c r="H14">
        <v>0</v>
      </c>
      <c r="I14">
        <v>3.84500299222022E-2</v>
      </c>
      <c r="J14">
        <v>0.92908438059999998</v>
      </c>
      <c r="K14">
        <v>66840</v>
      </c>
      <c r="L14">
        <v>64270</v>
      </c>
      <c r="M14">
        <v>0.11742938617198</v>
      </c>
      <c r="N14">
        <v>64270</v>
      </c>
      <c r="O14">
        <v>2570</v>
      </c>
      <c r="P14">
        <f t="shared" si="0"/>
        <v>115.14376948695136</v>
      </c>
      <c r="Q14">
        <f t="shared" si="1"/>
        <v>99.535387951060855</v>
      </c>
      <c r="R14">
        <f t="shared" si="2"/>
        <v>86.444441062302275</v>
      </c>
    </row>
    <row r="15" spans="1:19" x14ac:dyDescent="0.25">
      <c r="A15">
        <v>2008</v>
      </c>
      <c r="B15" t="s">
        <v>15</v>
      </c>
      <c r="C15">
        <v>110908</v>
      </c>
      <c r="D15">
        <v>540928.397565922</v>
      </c>
      <c r="E15">
        <v>0.98599999999999999</v>
      </c>
      <c r="F15">
        <v>0.96799999999999997</v>
      </c>
      <c r="G15">
        <v>0.60176001731164497</v>
      </c>
      <c r="H15">
        <v>0</v>
      </c>
      <c r="I15">
        <v>3.9706323044650799E-2</v>
      </c>
      <c r="J15">
        <v>0.93738656989999902</v>
      </c>
      <c r="K15">
        <v>66740</v>
      </c>
      <c r="L15">
        <v>64090</v>
      </c>
      <c r="M15">
        <v>0.118481485328544</v>
      </c>
      <c r="N15">
        <v>64090</v>
      </c>
      <c r="O15">
        <v>2650</v>
      </c>
      <c r="P15">
        <f t="shared" si="0"/>
        <v>113.80169099073602</v>
      </c>
      <c r="Q15">
        <f t="shared" si="1"/>
        <v>99.256620721697388</v>
      </c>
      <c r="R15">
        <f t="shared" si="2"/>
        <v>87.218933091053401</v>
      </c>
    </row>
    <row r="16" spans="1:19" x14ac:dyDescent="0.25">
      <c r="A16">
        <v>2009</v>
      </c>
      <c r="B16" t="s">
        <v>15</v>
      </c>
      <c r="C16">
        <v>111021</v>
      </c>
      <c r="D16">
        <v>508514.96945010102</v>
      </c>
      <c r="E16">
        <v>0.98199999999999998</v>
      </c>
      <c r="F16">
        <v>0.95499999999999996</v>
      </c>
      <c r="G16">
        <v>0.59898577746552395</v>
      </c>
      <c r="H16">
        <v>0</v>
      </c>
      <c r="I16">
        <v>5.05263157894736E-2</v>
      </c>
      <c r="J16">
        <v>0.92803738319999995</v>
      </c>
      <c r="K16">
        <v>66500</v>
      </c>
      <c r="L16">
        <v>63140</v>
      </c>
      <c r="M16">
        <v>0.12416546963854</v>
      </c>
      <c r="N16">
        <v>63140</v>
      </c>
      <c r="O16">
        <v>3360</v>
      </c>
      <c r="P16">
        <f t="shared" si="0"/>
        <v>106.98248359288895</v>
      </c>
      <c r="Q16">
        <f t="shared" si="1"/>
        <v>97.785349233390122</v>
      </c>
      <c r="R16">
        <f t="shared" si="2"/>
        <v>91.403139980842468</v>
      </c>
    </row>
    <row r="17" spans="1:28" x14ac:dyDescent="0.25">
      <c r="A17">
        <v>2010</v>
      </c>
      <c r="B17" t="s">
        <v>15</v>
      </c>
      <c r="C17">
        <v>111254</v>
      </c>
      <c r="D17">
        <v>529739.97923156805</v>
      </c>
      <c r="E17">
        <v>0.96299999999999997</v>
      </c>
      <c r="F17">
        <v>0.94799999999999995</v>
      </c>
      <c r="G17">
        <v>0.59611339816995301</v>
      </c>
      <c r="H17">
        <v>0</v>
      </c>
      <c r="I17">
        <v>5.0361881785283398E-2</v>
      </c>
      <c r="J17">
        <v>0.91988950279999904</v>
      </c>
      <c r="K17">
        <v>66320</v>
      </c>
      <c r="L17">
        <v>62980</v>
      </c>
      <c r="M17">
        <v>0.11888851600620599</v>
      </c>
      <c r="N17">
        <v>62980</v>
      </c>
      <c r="O17">
        <v>3340</v>
      </c>
      <c r="P17">
        <f t="shared" si="0"/>
        <v>111.4478472441502</v>
      </c>
      <c r="Q17">
        <f t="shared" si="1"/>
        <v>97.537556140622584</v>
      </c>
      <c r="R17">
        <f t="shared" si="2"/>
        <v>87.518564559570038</v>
      </c>
    </row>
    <row r="18" spans="1:28" x14ac:dyDescent="0.25">
      <c r="A18">
        <v>2011</v>
      </c>
      <c r="B18" t="s">
        <v>15</v>
      </c>
      <c r="C18">
        <v>111129</v>
      </c>
      <c r="D18">
        <v>528630.80168776296</v>
      </c>
      <c r="E18">
        <v>0.94799999999999995</v>
      </c>
      <c r="F18">
        <v>0.94499999999999995</v>
      </c>
      <c r="G18">
        <v>0.59354443934526502</v>
      </c>
      <c r="H18">
        <v>0</v>
      </c>
      <c r="I18">
        <v>4.5936931473620303E-2</v>
      </c>
      <c r="J18">
        <v>0.9205909511</v>
      </c>
      <c r="K18">
        <v>65960</v>
      </c>
      <c r="L18">
        <v>62930</v>
      </c>
      <c r="M18">
        <v>0.119043384908868</v>
      </c>
      <c r="N18">
        <v>62930</v>
      </c>
      <c r="O18">
        <v>3030</v>
      </c>
      <c r="P18">
        <f t="shared" si="0"/>
        <v>111.21449606373157</v>
      </c>
      <c r="Q18">
        <f t="shared" si="1"/>
        <v>97.460120799132724</v>
      </c>
      <c r="R18">
        <f t="shared" si="2"/>
        <v>87.63256971760508</v>
      </c>
    </row>
    <row r="19" spans="1:28" x14ac:dyDescent="0.25">
      <c r="A19">
        <v>2012</v>
      </c>
      <c r="B19" t="s">
        <v>15</v>
      </c>
      <c r="C19">
        <v>111046</v>
      </c>
      <c r="D19">
        <v>537063.86822529195</v>
      </c>
      <c r="E19">
        <v>0.94099999999999995</v>
      </c>
      <c r="F19">
        <v>0.94499999999999995</v>
      </c>
      <c r="G19">
        <v>0.59119644111449299</v>
      </c>
      <c r="H19">
        <v>0</v>
      </c>
      <c r="I19">
        <v>4.3412033511043398E-2</v>
      </c>
      <c r="J19">
        <v>0.90725436179999996</v>
      </c>
      <c r="K19">
        <v>65650</v>
      </c>
      <c r="L19">
        <v>62800</v>
      </c>
      <c r="M19">
        <v>0.116932088929237</v>
      </c>
      <c r="N19">
        <v>62800</v>
      </c>
      <c r="O19">
        <v>2850</v>
      </c>
      <c r="P19">
        <f t="shared" si="0"/>
        <v>112.98866291562295</v>
      </c>
      <c r="Q19">
        <f t="shared" si="1"/>
        <v>97.258788911259103</v>
      </c>
      <c r="R19">
        <f t="shared" si="2"/>
        <v>86.07836078553251</v>
      </c>
    </row>
    <row r="20" spans="1:28" x14ac:dyDescent="0.25">
      <c r="A20">
        <v>2013</v>
      </c>
      <c r="B20" t="s">
        <v>15</v>
      </c>
      <c r="C20">
        <v>111024</v>
      </c>
      <c r="D20">
        <v>547980.08519701799</v>
      </c>
      <c r="E20">
        <v>0.93899999999999995</v>
      </c>
      <c r="F20">
        <v>0.94899999999999995</v>
      </c>
      <c r="G20">
        <v>0.59383556708459395</v>
      </c>
      <c r="H20">
        <v>0</v>
      </c>
      <c r="I20">
        <v>4.0497497345669597E-2</v>
      </c>
      <c r="J20">
        <v>0.91457753019999999</v>
      </c>
      <c r="K20">
        <v>65930</v>
      </c>
      <c r="L20">
        <v>63260</v>
      </c>
      <c r="M20">
        <v>0.115442151473909</v>
      </c>
      <c r="N20">
        <v>63260</v>
      </c>
      <c r="O20">
        <v>2670</v>
      </c>
      <c r="P20">
        <f t="shared" si="0"/>
        <v>115.28524034841119</v>
      </c>
      <c r="Q20">
        <f t="shared" si="1"/>
        <v>97.971194052965771</v>
      </c>
      <c r="R20">
        <f t="shared" si="2"/>
        <v>84.981558573222827</v>
      </c>
    </row>
    <row r="21" spans="1:28" x14ac:dyDescent="0.25">
      <c r="A21">
        <v>2014</v>
      </c>
      <c r="B21" t="s">
        <v>15</v>
      </c>
      <c r="C21">
        <v>111004</v>
      </c>
      <c r="D21">
        <v>553105.340314136</v>
      </c>
      <c r="E21">
        <v>0.95499999999999996</v>
      </c>
      <c r="F21">
        <v>0.97499999999999998</v>
      </c>
      <c r="G21">
        <v>0.595383950127923</v>
      </c>
      <c r="H21">
        <v>0</v>
      </c>
      <c r="I21">
        <v>3.6011499470419102E-2</v>
      </c>
      <c r="J21">
        <v>0.92264678469999994</v>
      </c>
      <c r="K21">
        <v>66090</v>
      </c>
      <c r="L21">
        <v>63710</v>
      </c>
      <c r="M21">
        <v>0.115186014952985</v>
      </c>
      <c r="N21">
        <v>63710</v>
      </c>
      <c r="O21">
        <v>2380</v>
      </c>
      <c r="P21">
        <f t="shared" si="0"/>
        <v>116.36350265024547</v>
      </c>
      <c r="Q21">
        <f t="shared" si="1"/>
        <v>98.668112126374467</v>
      </c>
      <c r="R21">
        <f t="shared" si="2"/>
        <v>84.793006294200211</v>
      </c>
    </row>
    <row r="22" spans="1:28" x14ac:dyDescent="0.25">
      <c r="A22">
        <v>2015</v>
      </c>
      <c r="B22" t="s">
        <v>15</v>
      </c>
      <c r="C22">
        <v>111208</v>
      </c>
      <c r="D22">
        <v>562940.20512820501</v>
      </c>
      <c r="E22">
        <v>0.97499999999999998</v>
      </c>
      <c r="F22">
        <v>0.98199999999999998</v>
      </c>
      <c r="G22">
        <v>0.59573052298395801</v>
      </c>
      <c r="H22">
        <v>0</v>
      </c>
      <c r="I22">
        <v>3.3660377358490499E-2</v>
      </c>
      <c r="J22">
        <v>0.92703461180000002</v>
      </c>
      <c r="K22">
        <v>66250</v>
      </c>
      <c r="L22">
        <v>64020</v>
      </c>
      <c r="M22">
        <v>0.113724334159824</v>
      </c>
      <c r="N22">
        <v>64020</v>
      </c>
      <c r="O22">
        <v>2230</v>
      </c>
      <c r="P22">
        <f t="shared" si="0"/>
        <v>118.43258286778007</v>
      </c>
      <c r="Q22">
        <f t="shared" si="1"/>
        <v>99.148211243611584</v>
      </c>
      <c r="R22">
        <f t="shared" si="2"/>
        <v>83.717004934615119</v>
      </c>
    </row>
    <row r="23" spans="1:28" x14ac:dyDescent="0.25">
      <c r="A23">
        <v>2016</v>
      </c>
      <c r="B23" t="s">
        <v>15</v>
      </c>
      <c r="C23">
        <v>111233</v>
      </c>
      <c r="D23">
        <v>566738.63404688996</v>
      </c>
      <c r="E23">
        <v>0.98099999999999998</v>
      </c>
      <c r="F23">
        <v>0.98099999999999998</v>
      </c>
      <c r="G23">
        <v>0.60036140354031597</v>
      </c>
      <c r="H23">
        <v>0</v>
      </c>
      <c r="I23">
        <v>3.11470500149745E-2</v>
      </c>
      <c r="J23">
        <v>0.937911571</v>
      </c>
      <c r="K23">
        <v>66780</v>
      </c>
      <c r="L23">
        <v>64700</v>
      </c>
      <c r="M23">
        <v>0.114161971874052</v>
      </c>
      <c r="N23">
        <v>64700</v>
      </c>
      <c r="O23">
        <v>2080</v>
      </c>
      <c r="P23">
        <f t="shared" si="0"/>
        <v>119.23170459257688</v>
      </c>
      <c r="Q23">
        <f t="shared" si="1"/>
        <v>100.20133188787364</v>
      </c>
      <c r="R23">
        <f t="shared" si="2"/>
        <v>84.039167459920691</v>
      </c>
      <c r="T23" t="s">
        <v>18</v>
      </c>
      <c r="AB23" t="s">
        <v>19</v>
      </c>
    </row>
    <row r="24" spans="1:28" x14ac:dyDescent="0.25">
      <c r="A24">
        <v>2017</v>
      </c>
      <c r="B24" t="s">
        <v>15</v>
      </c>
      <c r="C24">
        <v>111278</v>
      </c>
      <c r="D24">
        <v>576064.220183486</v>
      </c>
      <c r="E24">
        <v>0.98099999999999998</v>
      </c>
      <c r="F24">
        <v>0.98599999999999999</v>
      </c>
      <c r="G24">
        <v>0.60497133305774697</v>
      </c>
      <c r="H24">
        <v>0</v>
      </c>
      <c r="I24">
        <v>2.82234105763517E-2</v>
      </c>
      <c r="J24">
        <v>0.94439208289999999</v>
      </c>
      <c r="K24">
        <v>67320</v>
      </c>
      <c r="L24">
        <v>65420</v>
      </c>
      <c r="M24">
        <v>0.113563727285757</v>
      </c>
      <c r="N24">
        <v>65420</v>
      </c>
      <c r="O24">
        <v>1900</v>
      </c>
      <c r="P24">
        <f t="shared" si="0"/>
        <v>121.19364165596625</v>
      </c>
      <c r="Q24">
        <f t="shared" si="1"/>
        <v>101.31640080532756</v>
      </c>
      <c r="R24">
        <f t="shared" si="2"/>
        <v>83.598775827642484</v>
      </c>
    </row>
    <row r="25" spans="1:28" x14ac:dyDescent="0.25">
      <c r="A25">
        <v>2018</v>
      </c>
      <c r="B25" t="s">
        <v>15</v>
      </c>
      <c r="C25">
        <v>111276</v>
      </c>
      <c r="D25">
        <v>580768.87755102001</v>
      </c>
      <c r="E25">
        <v>0.98</v>
      </c>
      <c r="F25">
        <v>0.995</v>
      </c>
      <c r="G25">
        <v>0.615496603041087</v>
      </c>
      <c r="H25">
        <v>0</v>
      </c>
      <c r="I25">
        <v>2.43831216235946E-2</v>
      </c>
      <c r="J25">
        <v>0.9657794677</v>
      </c>
      <c r="K25">
        <v>68490</v>
      </c>
      <c r="L25">
        <v>66820</v>
      </c>
      <c r="M25">
        <v>0.11505437461071499</v>
      </c>
      <c r="N25">
        <v>66820</v>
      </c>
      <c r="O25">
        <v>1670</v>
      </c>
      <c r="P25">
        <f t="shared" si="0"/>
        <v>122.18341768984907</v>
      </c>
      <c r="Q25">
        <f t="shared" si="1"/>
        <v>103.48459036704352</v>
      </c>
      <c r="R25">
        <f t="shared" si="2"/>
        <v>84.69610060321709</v>
      </c>
    </row>
    <row r="26" spans="1:28" x14ac:dyDescent="0.25">
      <c r="A26">
        <v>2019</v>
      </c>
      <c r="B26" t="s">
        <v>15</v>
      </c>
      <c r="C26">
        <v>111296</v>
      </c>
      <c r="D26">
        <v>579369.80749746703</v>
      </c>
      <c r="E26">
        <v>0.98699999999999999</v>
      </c>
      <c r="F26">
        <v>1</v>
      </c>
      <c r="G26">
        <v>0.62104657849338696</v>
      </c>
      <c r="H26">
        <v>0</v>
      </c>
      <c r="I26">
        <v>2.34375E-2</v>
      </c>
      <c r="J26">
        <v>0.98347910589999998</v>
      </c>
      <c r="K26">
        <v>69120</v>
      </c>
      <c r="L26">
        <v>67500</v>
      </c>
      <c r="M26">
        <v>0.116505898523707</v>
      </c>
      <c r="N26">
        <v>67500</v>
      </c>
      <c r="O26">
        <v>1620</v>
      </c>
      <c r="P26">
        <f t="shared" si="0"/>
        <v>121.88907829368263</v>
      </c>
      <c r="Q26">
        <f t="shared" si="1"/>
        <v>104.53771101130556</v>
      </c>
      <c r="R26">
        <f t="shared" si="2"/>
        <v>85.76462507939371</v>
      </c>
    </row>
    <row r="27" spans="1:28" x14ac:dyDescent="0.25">
      <c r="A27">
        <v>2020</v>
      </c>
      <c r="B27" t="s">
        <v>15</v>
      </c>
      <c r="C27">
        <v>111114</v>
      </c>
      <c r="D27">
        <v>554074.4</v>
      </c>
      <c r="E27">
        <v>1</v>
      </c>
      <c r="F27">
        <v>1</v>
      </c>
      <c r="G27">
        <v>0.62116384973990602</v>
      </c>
      <c r="H27">
        <v>0</v>
      </c>
      <c r="I27">
        <v>2.7818023761228598E-2</v>
      </c>
      <c r="J27">
        <v>1</v>
      </c>
      <c r="K27">
        <v>69020</v>
      </c>
      <c r="L27">
        <v>67100</v>
      </c>
      <c r="M27">
        <v>0.121102869939488</v>
      </c>
      <c r="N27">
        <v>67100</v>
      </c>
      <c r="O27">
        <v>1920</v>
      </c>
      <c r="P27">
        <f t="shared" si="0"/>
        <v>116.56737553142256</v>
      </c>
      <c r="Q27">
        <f t="shared" si="1"/>
        <v>103.91822827938671</v>
      </c>
      <c r="R27">
        <f t="shared" si="2"/>
        <v>89.148638549706334</v>
      </c>
    </row>
    <row r="28" spans="1:28" x14ac:dyDescent="0.25">
      <c r="A28">
        <v>2021</v>
      </c>
      <c r="B28" t="s">
        <v>15</v>
      </c>
      <c r="C28">
        <v>110735</v>
      </c>
      <c r="D28">
        <v>574142.94294294296</v>
      </c>
      <c r="E28">
        <v>0.999</v>
      </c>
      <c r="F28">
        <v>0.998</v>
      </c>
      <c r="G28">
        <v>0.62374136451889595</v>
      </c>
      <c r="H28">
        <v>0</v>
      </c>
      <c r="I28">
        <v>2.8087447517011699E-2</v>
      </c>
      <c r="J28">
        <v>0.99602780540000002</v>
      </c>
      <c r="K28">
        <v>69070</v>
      </c>
      <c r="L28">
        <v>67130</v>
      </c>
      <c r="M28">
        <v>0.116922102457455</v>
      </c>
      <c r="N28">
        <v>67130</v>
      </c>
      <c r="O28">
        <v>1940</v>
      </c>
      <c r="P28">
        <f t="shared" si="0"/>
        <v>120.78943917774608</v>
      </c>
      <c r="Q28">
        <f t="shared" si="1"/>
        <v>103.96468948428061</v>
      </c>
      <c r="R28">
        <f t="shared" si="2"/>
        <v>86.071009346514785</v>
      </c>
    </row>
    <row r="29" spans="1:28" x14ac:dyDescent="0.25">
      <c r="A29">
        <v>2022</v>
      </c>
      <c r="B29" t="s">
        <v>15</v>
      </c>
      <c r="C29">
        <v>110463</v>
      </c>
      <c r="D29">
        <v>581412.12723658001</v>
      </c>
      <c r="E29">
        <v>1.006</v>
      </c>
      <c r="F29">
        <v>1.0229999999999999</v>
      </c>
      <c r="G29">
        <v>0.62482460190289901</v>
      </c>
      <c r="H29">
        <v>0</v>
      </c>
      <c r="I29">
        <v>2.5934511735728701E-2</v>
      </c>
      <c r="J29">
        <v>1.0148809519999999</v>
      </c>
      <c r="K29">
        <v>69020</v>
      </c>
      <c r="L29">
        <v>67230</v>
      </c>
      <c r="M29">
        <v>0.11563226298622301</v>
      </c>
      <c r="N29">
        <v>67230</v>
      </c>
      <c r="O29">
        <v>1790</v>
      </c>
      <c r="P29">
        <f t="shared" si="0"/>
        <v>122.31874595561472</v>
      </c>
      <c r="Q29">
        <f t="shared" si="1"/>
        <v>104.11956016726035</v>
      </c>
      <c r="R29">
        <f t="shared" si="2"/>
        <v>85.12150721774222</v>
      </c>
    </row>
    <row r="30" spans="1:28" x14ac:dyDescent="0.25">
      <c r="A30">
        <v>2023</v>
      </c>
      <c r="B30" t="s">
        <v>15</v>
      </c>
      <c r="C30">
        <v>110206</v>
      </c>
      <c r="D30">
        <v>586139.86679352995</v>
      </c>
      <c r="E30">
        <v>1.0509999999999999</v>
      </c>
      <c r="F30">
        <v>1.056</v>
      </c>
      <c r="G30">
        <v>0.62836869135981699</v>
      </c>
      <c r="H30">
        <v>0</v>
      </c>
      <c r="I30">
        <v>2.5703971119133501E-2</v>
      </c>
      <c r="J30">
        <v>1.0257680870000001</v>
      </c>
      <c r="K30">
        <v>69250</v>
      </c>
      <c r="L30">
        <v>67470</v>
      </c>
      <c r="M30">
        <v>0.115109044483006</v>
      </c>
      <c r="N30">
        <v>67470</v>
      </c>
      <c r="O30">
        <v>1780</v>
      </c>
      <c r="P30">
        <f t="shared" si="0"/>
        <v>123.31337807063348</v>
      </c>
      <c r="Q30">
        <f t="shared" si="1"/>
        <v>104.49124980641164</v>
      </c>
      <c r="R30">
        <f t="shared" si="2"/>
        <v>84.73634527030751</v>
      </c>
    </row>
    <row r="31" spans="1:28" x14ac:dyDescent="0.25">
      <c r="A31">
        <v>2024</v>
      </c>
      <c r="B31" t="s">
        <v>15</v>
      </c>
      <c r="C31">
        <v>109929</v>
      </c>
      <c r="D31">
        <v>584540.09216589795</v>
      </c>
      <c r="E31">
        <v>1.085</v>
      </c>
      <c r="F31">
        <v>1.085</v>
      </c>
      <c r="G31">
        <v>0.63286302977376296</v>
      </c>
      <c r="H31">
        <v>0</v>
      </c>
      <c r="I31">
        <v>2.5298260744573801E-2</v>
      </c>
      <c r="J31">
        <v>1.065141004</v>
      </c>
      <c r="K31">
        <v>69570</v>
      </c>
      <c r="L31">
        <v>67810</v>
      </c>
      <c r="M31">
        <v>0.11600572981870801</v>
      </c>
      <c r="N31">
        <v>67810</v>
      </c>
      <c r="O31">
        <v>1760</v>
      </c>
      <c r="P31">
        <f t="shared" si="0"/>
        <v>122.97681401031085</v>
      </c>
      <c r="Q31">
        <f t="shared" si="1"/>
        <v>105.01781012854268</v>
      </c>
      <c r="R31">
        <f t="shared" si="2"/>
        <v>85.396431005065381</v>
      </c>
    </row>
    <row r="32" spans="1:28" x14ac:dyDescent="0.25">
      <c r="A32">
        <v>2025</v>
      </c>
      <c r="B32" t="s">
        <v>15</v>
      </c>
      <c r="C32">
        <v>109629</v>
      </c>
      <c r="D32">
        <v>591584.04634581099</v>
      </c>
      <c r="E32">
        <v>1.1220000000000001</v>
      </c>
      <c r="F32">
        <v>1.119</v>
      </c>
      <c r="G32">
        <v>0.63888204763338097</v>
      </c>
      <c r="H32">
        <v>0</v>
      </c>
      <c r="I32">
        <v>2.51284980011422E-2</v>
      </c>
      <c r="J32">
        <v>1.1051107979999999</v>
      </c>
      <c r="K32">
        <v>70040</v>
      </c>
      <c r="L32">
        <v>68280</v>
      </c>
      <c r="M32">
        <v>0.11541893399891701</v>
      </c>
      <c r="N32">
        <v>68280</v>
      </c>
      <c r="O32">
        <v>1760</v>
      </c>
      <c r="P32">
        <f t="shared" si="0"/>
        <v>124.45873638773175</v>
      </c>
      <c r="Q32">
        <f t="shared" si="1"/>
        <v>105.74570233854732</v>
      </c>
      <c r="R32">
        <f t="shared" si="2"/>
        <v>84.964467266575085</v>
      </c>
    </row>
    <row r="33" spans="1:20" x14ac:dyDescent="0.25">
      <c r="A33">
        <v>2026</v>
      </c>
      <c r="B33" t="s">
        <v>16</v>
      </c>
      <c r="C33">
        <v>109306</v>
      </c>
      <c r="D33">
        <v>599703.82737408602</v>
      </c>
      <c r="E33">
        <v>1.1444399999999999</v>
      </c>
      <c r="F33">
        <v>1.140261</v>
      </c>
      <c r="G33">
        <v>0.64467479231399905</v>
      </c>
      <c r="H33">
        <v>4.6452785208657102E-2</v>
      </c>
      <c r="I33">
        <v>2.2791292000568099E-2</v>
      </c>
      <c r="J33">
        <v>1.1312078489858199</v>
      </c>
      <c r="K33">
        <v>70467.921958304098</v>
      </c>
      <c r="L33">
        <v>69073.594231087205</v>
      </c>
      <c r="M33">
        <v>0.11517951208272</v>
      </c>
      <c r="N33">
        <v>68861.866972279196</v>
      </c>
      <c r="O33">
        <v>1606.05498602495</v>
      </c>
      <c r="P33">
        <f t="shared" si="0"/>
        <v>126.1669935538377</v>
      </c>
      <c r="Q33">
        <f t="shared" si="1"/>
        <v>106.97474714431966</v>
      </c>
      <c r="R33">
        <f t="shared" si="2"/>
        <v>84.78821927279391</v>
      </c>
    </row>
    <row r="34" spans="1:20" x14ac:dyDescent="0.25">
      <c r="A34">
        <v>2027</v>
      </c>
      <c r="B34" t="s">
        <v>16</v>
      </c>
      <c r="C34">
        <v>108944</v>
      </c>
      <c r="D34">
        <v>602669.72169855295</v>
      </c>
      <c r="E34">
        <v>1.1570288399999999</v>
      </c>
      <c r="F34">
        <v>1.1562246539999901</v>
      </c>
      <c r="G34">
        <v>0.65231465634782804</v>
      </c>
      <c r="H34">
        <v>4.1807506687791401E-2</v>
      </c>
      <c r="I34">
        <v>2.1126384134101499E-2</v>
      </c>
      <c r="J34">
        <v>1.15674908041497</v>
      </c>
      <c r="K34">
        <v>71066.777852032101</v>
      </c>
      <c r="L34">
        <v>69839.201394407006</v>
      </c>
      <c r="M34">
        <v>0.115883043199139</v>
      </c>
      <c r="N34">
        <v>69565.393803957195</v>
      </c>
      <c r="O34">
        <v>1501.38404807489</v>
      </c>
      <c r="P34">
        <f t="shared" si="0"/>
        <v>126.79096484272354</v>
      </c>
      <c r="Q34">
        <f t="shared" si="1"/>
        <v>108.16044818709463</v>
      </c>
      <c r="R34">
        <f t="shared" si="2"/>
        <v>85.306116505431646</v>
      </c>
    </row>
    <row r="35" spans="1:20" x14ac:dyDescent="0.25">
      <c r="A35">
        <v>2028</v>
      </c>
      <c r="B35" t="s">
        <v>16</v>
      </c>
      <c r="C35">
        <v>108564</v>
      </c>
      <c r="D35">
        <v>605662.12344239501</v>
      </c>
      <c r="E35">
        <v>1.1651280420000001</v>
      </c>
      <c r="F35">
        <v>1.168943125</v>
      </c>
      <c r="G35">
        <v>0.66112044900899203</v>
      </c>
      <c r="H35">
        <v>3.7162228166925701E-2</v>
      </c>
      <c r="I35">
        <v>2.1121205375515598E-2</v>
      </c>
      <c r="J35">
        <v>1.1812412259655001</v>
      </c>
      <c r="K35">
        <v>71775.0099946962</v>
      </c>
      <c r="L35">
        <v>70483.671680189902</v>
      </c>
      <c r="M35">
        <v>0.116374574126548</v>
      </c>
      <c r="N35">
        <v>70259.0352677685</v>
      </c>
      <c r="O35">
        <v>1515.97472692766</v>
      </c>
      <c r="P35">
        <f t="shared" si="0"/>
        <v>127.42051282006256</v>
      </c>
      <c r="Q35">
        <f t="shared" si="1"/>
        <v>109.15854372028791</v>
      </c>
      <c r="R35">
        <f t="shared" si="2"/>
        <v>85.667951968170641</v>
      </c>
    </row>
    <row r="36" spans="1:20" x14ac:dyDescent="0.25">
      <c r="A36">
        <v>2029</v>
      </c>
      <c r="B36" t="s">
        <v>16</v>
      </c>
      <c r="C36">
        <v>108146</v>
      </c>
      <c r="D36">
        <v>608669.38331853296</v>
      </c>
      <c r="E36">
        <v>1.173283938</v>
      </c>
      <c r="F36">
        <v>1.1818014999999999</v>
      </c>
      <c r="G36">
        <v>0.66895153064074597</v>
      </c>
      <c r="H36">
        <v>3.251694964606E-2</v>
      </c>
      <c r="I36">
        <v>2.1520012415980599E-2</v>
      </c>
      <c r="J36">
        <v>1.2058705857532499</v>
      </c>
      <c r="K36">
        <v>72345.791809096394</v>
      </c>
      <c r="L36">
        <v>70983.1643471141</v>
      </c>
      <c r="M36">
        <v>0.11662023143024799</v>
      </c>
      <c r="N36">
        <v>70788.9094711207</v>
      </c>
      <c r="O36">
        <v>1556.8823379757</v>
      </c>
      <c r="P36">
        <f t="shared" si="0"/>
        <v>128.0531866835407</v>
      </c>
      <c r="Q36">
        <f t="shared" si="1"/>
        <v>109.932111424987</v>
      </c>
      <c r="R36">
        <f t="shared" si="2"/>
        <v>85.848790078659647</v>
      </c>
    </row>
    <row r="37" spans="1:20" x14ac:dyDescent="0.25">
      <c r="A37">
        <v>2030</v>
      </c>
      <c r="B37" t="s">
        <v>16</v>
      </c>
      <c r="C37">
        <v>107719</v>
      </c>
      <c r="D37">
        <v>611691.57472695701</v>
      </c>
      <c r="E37">
        <v>1.1814969259999999</v>
      </c>
      <c r="F37">
        <v>1.1948013159999999</v>
      </c>
      <c r="G37">
        <v>0.67617640454346895</v>
      </c>
      <c r="H37">
        <v>2.7871671125194199E-2</v>
      </c>
      <c r="I37">
        <v>2.2281853059728299E-2</v>
      </c>
      <c r="J37">
        <v>1.23042167089837</v>
      </c>
      <c r="K37">
        <v>72836.189322544495</v>
      </c>
      <c r="L37">
        <v>71351.654539158699</v>
      </c>
      <c r="M37">
        <v>0.11664645629786199</v>
      </c>
      <c r="N37">
        <v>71213.264054629093</v>
      </c>
      <c r="O37">
        <v>1622.9252679154899</v>
      </c>
      <c r="P37">
        <f t="shared" si="0"/>
        <v>128.6890018752074</v>
      </c>
      <c r="Q37">
        <f t="shared" si="1"/>
        <v>110.50279470211973</v>
      </c>
      <c r="R37">
        <f t="shared" si="2"/>
        <v>85.868095246613819</v>
      </c>
    </row>
    <row r="38" spans="1:20" x14ac:dyDescent="0.25">
      <c r="A38">
        <v>2031</v>
      </c>
      <c r="B38" t="s">
        <v>16</v>
      </c>
      <c r="C38">
        <v>107255</v>
      </c>
      <c r="D38">
        <v>614728.77248198597</v>
      </c>
      <c r="E38">
        <v>1.1897674039999999</v>
      </c>
      <c r="F38">
        <v>1.2079441310000001</v>
      </c>
      <c r="G38">
        <v>0.68261595410904397</v>
      </c>
      <c r="H38">
        <v>2.3226392604328499E-2</v>
      </c>
      <c r="I38">
        <v>2.32299938698564E-2</v>
      </c>
      <c r="J38">
        <v>1.25459443694746</v>
      </c>
      <c r="K38">
        <v>73212.7836881033</v>
      </c>
      <c r="L38">
        <v>71604.7962080625</v>
      </c>
      <c r="M38">
        <v>0.116481933843694</v>
      </c>
      <c r="N38">
        <v>71512.051171833606</v>
      </c>
      <c r="O38">
        <v>1700.73251626976</v>
      </c>
      <c r="P38">
        <f t="shared" si="0"/>
        <v>129.32797413466147</v>
      </c>
      <c r="Q38">
        <f t="shared" si="1"/>
        <v>110.89483693365727</v>
      </c>
      <c r="R38">
        <f t="shared" si="2"/>
        <v>85.746983725415134</v>
      </c>
    </row>
    <row r="39" spans="1:20" x14ac:dyDescent="0.25">
      <c r="A39">
        <v>2032</v>
      </c>
      <c r="B39" t="s">
        <v>16</v>
      </c>
      <c r="C39">
        <v>106740</v>
      </c>
      <c r="D39">
        <v>617781.05025219603</v>
      </c>
      <c r="E39">
        <v>1.1980957759999999</v>
      </c>
      <c r="F39">
        <v>1.221231516</v>
      </c>
      <c r="G39">
        <v>0.68826160753108101</v>
      </c>
      <c r="H39">
        <v>1.8581114083462798E-2</v>
      </c>
      <c r="I39">
        <v>2.4147574304665499E-2</v>
      </c>
      <c r="J39">
        <v>1.2782309343712299</v>
      </c>
      <c r="K39">
        <v>73465.884722657502</v>
      </c>
      <c r="L39">
        <v>71760.274108128302</v>
      </c>
      <c r="M39">
        <v>0.116158101772195</v>
      </c>
      <c r="N39">
        <v>71691.861812459101</v>
      </c>
      <c r="O39">
        <v>1774.02291019836</v>
      </c>
      <c r="P39">
        <f t="shared" si="0"/>
        <v>129.97011896045797</v>
      </c>
      <c r="Q39">
        <f t="shared" si="1"/>
        <v>111.13562661937169</v>
      </c>
      <c r="R39">
        <f t="shared" si="2"/>
        <v>85.508598059515151</v>
      </c>
    </row>
    <row r="40" spans="1:20" x14ac:dyDescent="0.25">
      <c r="A40">
        <v>2033</v>
      </c>
      <c r="B40" t="s">
        <v>16</v>
      </c>
      <c r="C40">
        <v>106192</v>
      </c>
      <c r="D40">
        <v>620848.483691904</v>
      </c>
      <c r="E40">
        <v>1.2064824459999901</v>
      </c>
      <c r="F40">
        <v>1.234665063</v>
      </c>
      <c r="G40">
        <v>0.69334534765563105</v>
      </c>
      <c r="H40">
        <v>1.39358355625971E-2</v>
      </c>
      <c r="I40">
        <v>2.4964550552993601E-2</v>
      </c>
      <c r="J40">
        <v>1.30149055090067</v>
      </c>
      <c r="K40">
        <v>73628.867571187293</v>
      </c>
      <c r="L40">
        <v>71835.867106205405</v>
      </c>
      <c r="M40">
        <v>0.115705955628706</v>
      </c>
      <c r="N40">
        <v>71790.755984546704</v>
      </c>
      <c r="O40">
        <v>1838.1115866405701</v>
      </c>
      <c r="P40">
        <f t="shared" si="0"/>
        <v>130.6154522689163</v>
      </c>
      <c r="Q40">
        <f t="shared" si="1"/>
        <v>111.25269801177855</v>
      </c>
      <c r="R40">
        <f t="shared" si="2"/>
        <v>85.175755302463799</v>
      </c>
    </row>
    <row r="41" spans="1:20" x14ac:dyDescent="0.25">
      <c r="A41">
        <v>2034</v>
      </c>
      <c r="B41" t="s">
        <v>16</v>
      </c>
      <c r="C41">
        <v>105591</v>
      </c>
      <c r="D41">
        <v>623314.61428444495</v>
      </c>
      <c r="E41">
        <v>1.2149278239999901</v>
      </c>
      <c r="F41">
        <v>1.2482463779999999</v>
      </c>
      <c r="G41">
        <v>0.69794956398321095</v>
      </c>
      <c r="H41">
        <v>9.29055704173142E-3</v>
      </c>
      <c r="I41">
        <v>2.5700601341285899E-2</v>
      </c>
      <c r="J41">
        <v>1.3244162675742801</v>
      </c>
      <c r="K41">
        <v>73698.696748731105</v>
      </c>
      <c r="L41">
        <v>71830.504075241406</v>
      </c>
      <c r="M41">
        <v>0.115239563503098</v>
      </c>
      <c r="N41">
        <v>71804.595924219597</v>
      </c>
      <c r="O41">
        <v>1894.1008245114599</v>
      </c>
      <c r="P41">
        <f t="shared" si="0"/>
        <v>131.13428217856426</v>
      </c>
      <c r="Q41">
        <f t="shared" si="1"/>
        <v>111.24439224909619</v>
      </c>
      <c r="R41">
        <f t="shared" si="2"/>
        <v>84.832425511443148</v>
      </c>
    </row>
    <row r="42" spans="1:20" x14ac:dyDescent="0.25">
      <c r="A42">
        <v>2035</v>
      </c>
      <c r="B42" t="s">
        <v>16</v>
      </c>
      <c r="C42">
        <v>104948</v>
      </c>
      <c r="D42">
        <v>625790.54160640505</v>
      </c>
      <c r="E42">
        <v>1.223432318</v>
      </c>
      <c r="F42">
        <v>1.2619770889999999</v>
      </c>
      <c r="G42">
        <v>0.70224070138956596</v>
      </c>
      <c r="H42">
        <v>4.64527852086571E-3</v>
      </c>
      <c r="I42">
        <v>2.6352282904573601E-2</v>
      </c>
      <c r="J42">
        <v>1.34723431359444</v>
      </c>
      <c r="K42">
        <v>73697.707347292206</v>
      </c>
      <c r="L42">
        <v>71758.349957732498</v>
      </c>
      <c r="M42">
        <v>0.11466831980797999</v>
      </c>
      <c r="N42">
        <v>71755.604513857907</v>
      </c>
      <c r="O42">
        <v>1942.10283343432</v>
      </c>
      <c r="P42">
        <f t="shared" si="0"/>
        <v>131.65517314542257</v>
      </c>
      <c r="Q42">
        <f t="shared" si="1"/>
        <v>111.13264667451215</v>
      </c>
      <c r="R42">
        <f t="shared" si="2"/>
        <v>84.411910310397133</v>
      </c>
    </row>
    <row r="43" spans="1:20" x14ac:dyDescent="0.25">
      <c r="A43">
        <v>2036</v>
      </c>
      <c r="B43" t="s">
        <v>16</v>
      </c>
      <c r="C43">
        <v>104297</v>
      </c>
      <c r="D43">
        <v>628176.28448402497</v>
      </c>
      <c r="E43">
        <v>1.231996345</v>
      </c>
      <c r="F43">
        <v>1.2758588360000001</v>
      </c>
      <c r="G43">
        <v>0.70607590566901501</v>
      </c>
      <c r="H43">
        <v>0</v>
      </c>
      <c r="I43">
        <v>2.7082132290445499E-2</v>
      </c>
      <c r="J43">
        <v>1.3697056892894599</v>
      </c>
      <c r="K43">
        <v>73640.192229529799</v>
      </c>
      <c r="L43">
        <v>71627.606961482394</v>
      </c>
      <c r="M43">
        <v>0.114024691365603</v>
      </c>
      <c r="N43">
        <v>71645.858801675902</v>
      </c>
      <c r="O43">
        <v>1994.3334278539601</v>
      </c>
      <c r="P43">
        <f t="shared" si="0"/>
        <v>132.15709091303094</v>
      </c>
      <c r="Q43">
        <f t="shared" si="1"/>
        <v>110.93016410327148</v>
      </c>
      <c r="R43">
        <f t="shared" si="2"/>
        <v>83.938109818315894</v>
      </c>
      <c r="T43" t="s">
        <v>17</v>
      </c>
    </row>
    <row r="44" spans="1:20" x14ac:dyDescent="0.25">
      <c r="A44">
        <v>2037</v>
      </c>
      <c r="B44" t="s">
        <v>16</v>
      </c>
      <c r="C44">
        <v>103601</v>
      </c>
      <c r="D44">
        <v>630474.44937100005</v>
      </c>
      <c r="E44">
        <v>1.240620319</v>
      </c>
      <c r="F44">
        <v>1.2898932839999999</v>
      </c>
      <c r="G44">
        <v>0.710033093493183</v>
      </c>
      <c r="H44">
        <v>0</v>
      </c>
      <c r="I44">
        <v>2.8129745152489099E-2</v>
      </c>
      <c r="J44">
        <v>1.3913050951294399</v>
      </c>
      <c r="K44">
        <v>73561.307032192693</v>
      </c>
      <c r="L44">
        <v>71447.950606554194</v>
      </c>
      <c r="M44">
        <v>0.113324101679037</v>
      </c>
      <c r="N44">
        <v>71492.046212293106</v>
      </c>
      <c r="O44">
        <v>2069.2608198995899</v>
      </c>
      <c r="P44">
        <f t="shared" si="0"/>
        <v>132.64058383277808</v>
      </c>
      <c r="Q44">
        <f t="shared" si="1"/>
        <v>110.65192907937771</v>
      </c>
      <c r="R44">
        <f t="shared" si="2"/>
        <v>83.42237788916718</v>
      </c>
    </row>
    <row r="45" spans="1:20" x14ac:dyDescent="0.25">
      <c r="A45">
        <v>2038</v>
      </c>
      <c r="B45" t="s">
        <v>16</v>
      </c>
      <c r="C45">
        <v>102871</v>
      </c>
      <c r="D45">
        <v>632693.33820247301</v>
      </c>
      <c r="E45">
        <v>1.249304661</v>
      </c>
      <c r="F45">
        <v>1.30408211</v>
      </c>
      <c r="G45">
        <v>0.71341140662142499</v>
      </c>
      <c r="H45">
        <v>0</v>
      </c>
      <c r="I45">
        <v>2.8779892348246201E-2</v>
      </c>
      <c r="J45">
        <v>1.4125359573602101</v>
      </c>
      <c r="K45">
        <v>73390.877554644394</v>
      </c>
      <c r="L45">
        <v>71232.869334308503</v>
      </c>
      <c r="M45">
        <v>0.112586722560863</v>
      </c>
      <c r="N45">
        <v>71278.695999278396</v>
      </c>
      <c r="O45">
        <v>2112.1815553659799</v>
      </c>
      <c r="P45">
        <f t="shared" si="0"/>
        <v>133.10739848380834</v>
      </c>
      <c r="Q45">
        <f t="shared" si="1"/>
        <v>110.31883124408937</v>
      </c>
      <c r="R45">
        <f t="shared" si="2"/>
        <v>82.879563796379756</v>
      </c>
    </row>
    <row r="46" spans="1:20" x14ac:dyDescent="0.25">
      <c r="A46">
        <v>2039</v>
      </c>
      <c r="B46" t="s">
        <v>16</v>
      </c>
      <c r="C46">
        <v>102145</v>
      </c>
      <c r="D46">
        <v>634830.47492156702</v>
      </c>
      <c r="E46">
        <v>1.2580497939999999</v>
      </c>
      <c r="F46">
        <v>1.318427013</v>
      </c>
      <c r="G46">
        <v>0.71653101118153395</v>
      </c>
      <c r="H46">
        <v>0</v>
      </c>
      <c r="I46">
        <v>2.9355192885087901E-2</v>
      </c>
      <c r="J46">
        <v>1.43345264496608</v>
      </c>
      <c r="K46">
        <v>73192.002705167804</v>
      </c>
      <c r="L46">
        <v>70989.752697937904</v>
      </c>
      <c r="M46">
        <v>0.111824739835794</v>
      </c>
      <c r="N46">
        <v>71043.437348111707</v>
      </c>
      <c r="O46">
        <v>2148.5653570560798</v>
      </c>
      <c r="P46">
        <f t="shared" si="0"/>
        <v>133.55701394789875</v>
      </c>
      <c r="Q46">
        <f t="shared" si="1"/>
        <v>109.94231484890491</v>
      </c>
      <c r="R46">
        <f t="shared" si="2"/>
        <v>82.318638010126492</v>
      </c>
    </row>
    <row r="47" spans="1:20" x14ac:dyDescent="0.25">
      <c r="A47">
        <v>2040</v>
      </c>
      <c r="B47" t="s">
        <v>16</v>
      </c>
      <c r="C47">
        <v>101418</v>
      </c>
      <c r="D47">
        <v>636888.980485362</v>
      </c>
      <c r="E47">
        <v>1.266856142</v>
      </c>
      <c r="F47">
        <v>1.3329297099999999</v>
      </c>
      <c r="G47">
        <v>0.71935391321216602</v>
      </c>
      <c r="H47">
        <v>0</v>
      </c>
      <c r="I47">
        <v>2.9813818209167401E-2</v>
      </c>
      <c r="J47">
        <v>1.45416261100852</v>
      </c>
      <c r="K47">
        <v>72957.802629568701</v>
      </c>
      <c r="L47">
        <v>70724.721823155007</v>
      </c>
      <c r="M47">
        <v>0.11104717461001801</v>
      </c>
      <c r="N47">
        <v>70782.651965030396</v>
      </c>
      <c r="O47">
        <v>2175.1506645382801</v>
      </c>
      <c r="P47">
        <f t="shared" si="0"/>
        <v>133.99008681877748</v>
      </c>
      <c r="Q47">
        <f t="shared" si="1"/>
        <v>109.53185972302153</v>
      </c>
      <c r="R47">
        <f t="shared" si="2"/>
        <v>81.746241325422915</v>
      </c>
    </row>
    <row r="48" spans="1:20" x14ac:dyDescent="0.25">
      <c r="T48" t="s">
        <v>20</v>
      </c>
    </row>
  </sheetData>
  <phoneticPr fontId="18"/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491D9-AA2F-41EB-A7CF-2C5247331F10}">
  <dimension ref="A1:G11"/>
  <sheetViews>
    <sheetView workbookViewId="0">
      <selection activeCell="B11" sqref="B11"/>
    </sheetView>
  </sheetViews>
  <sheetFormatPr defaultRowHeight="12.6" x14ac:dyDescent="0.25"/>
  <cols>
    <col min="2" max="3" width="8.88671875" style="2"/>
    <col min="4" max="4" width="8.88671875" style="1"/>
    <col min="5" max="5" width="9.6640625" style="3" bestFit="1" customWidth="1"/>
    <col min="6" max="7" width="8.88671875" style="3"/>
  </cols>
  <sheetData>
    <row r="1" spans="1:7" x14ac:dyDescent="0.25">
      <c r="A1" t="s">
        <v>0</v>
      </c>
      <c r="B1" s="2" t="s">
        <v>6</v>
      </c>
      <c r="C1" s="2" t="s">
        <v>8</v>
      </c>
      <c r="D1" s="1" t="s">
        <v>9</v>
      </c>
      <c r="E1" s="3" t="s">
        <v>10</v>
      </c>
      <c r="F1" s="3" t="s">
        <v>13</v>
      </c>
      <c r="G1" s="3" t="s">
        <v>21</v>
      </c>
    </row>
    <row r="2" spans="1:7" x14ac:dyDescent="0.25">
      <c r="A2">
        <v>1995</v>
      </c>
      <c r="B2" s="2">
        <f>VLOOKUP($A2,labour_force_simulation!$A$1:$O$47,7)*100</f>
        <v>63.151313047102896</v>
      </c>
      <c r="C2" s="2">
        <f>VLOOKUP($A2,labour_force_simulation!$A$1:$O$47,9)*100</f>
        <v>3.1353135313531304</v>
      </c>
      <c r="D2" s="2">
        <f>VLOOKUP($A2,labour_force_simulation!$A$1:$O$47,10)*100</f>
        <v>93.293718169999991</v>
      </c>
      <c r="E2" s="3">
        <f>VLOOKUP($A2,labour_force_simulation!$A$1:$O$47,11)*0.1</f>
        <v>6666</v>
      </c>
      <c r="F2" s="3">
        <f>VLOOKUP($A2,labour_force_simulation!$A$1:$O$47,14)*0.1</f>
        <v>6457</v>
      </c>
      <c r="G2" s="3">
        <f>VLOOKUP($A2,labour_force_simulation!$A$1:$O$47,15)*0.1</f>
        <v>209</v>
      </c>
    </row>
    <row r="3" spans="1:7" x14ac:dyDescent="0.25">
      <c r="A3">
        <v>2000</v>
      </c>
      <c r="B3" s="2">
        <f>VLOOKUP($A3,labour_force_simulation!$A$1:$O$47,7)*100</f>
        <v>62.385896324709002</v>
      </c>
      <c r="C3" s="2">
        <f>VLOOKUP($A3,labour_force_simulation!$A$1:$O$47,9)*100</f>
        <v>4.7295300029559497</v>
      </c>
      <c r="D3" s="2">
        <f>VLOOKUP($A3,labour_force_simulation!$A$1:$O$47,10)*100</f>
        <v>95.895196510000005</v>
      </c>
      <c r="E3" s="3">
        <f>VLOOKUP($A3,labour_force_simulation!$A$1:$O$47,11)*0.1</f>
        <v>6766</v>
      </c>
      <c r="F3" s="3">
        <f>VLOOKUP($A3,labour_force_simulation!$A$1:$O$47,14)*0.1</f>
        <v>6446</v>
      </c>
      <c r="G3" s="3">
        <f>VLOOKUP($A3,labour_force_simulation!$A$1:$O$47,15)*0.1</f>
        <v>320</v>
      </c>
    </row>
    <row r="4" spans="1:7" x14ac:dyDescent="0.25">
      <c r="A4">
        <v>2005</v>
      </c>
      <c r="B4" s="2">
        <f>VLOOKUP($A4,labour_force_simulation!$A$1:$O$47,7)*100</f>
        <v>60.328172195161699</v>
      </c>
      <c r="C4" s="2">
        <f>VLOOKUP($A4,labour_force_simulation!$A$1:$O$47,9)*100</f>
        <v>4.43542324462486</v>
      </c>
      <c r="D4" s="2">
        <f>VLOOKUP($A4,labour_force_simulation!$A$1:$O$47,10)*100</f>
        <v>93.375111910000001</v>
      </c>
      <c r="E4" s="3">
        <f>VLOOKUP($A4,labour_force_simulation!$A$1:$O$47,11)*0.1</f>
        <v>6651</v>
      </c>
      <c r="F4" s="3">
        <f>VLOOKUP($A4,labour_force_simulation!$A$1:$O$47,14)*0.1</f>
        <v>6356</v>
      </c>
      <c r="G4" s="3">
        <f>VLOOKUP($A4,labour_force_simulation!$A$1:$O$47,15)*0.1</f>
        <v>295</v>
      </c>
    </row>
    <row r="5" spans="1:7" x14ac:dyDescent="0.25">
      <c r="A5">
        <v>2010</v>
      </c>
      <c r="B5" s="2">
        <f>VLOOKUP($A5,labour_force_simulation!$A$1:$O$47,7)*100</f>
        <v>59.611339816995304</v>
      </c>
      <c r="C5" s="2">
        <f>VLOOKUP($A5,labour_force_simulation!$A$1:$O$47,9)*100</f>
        <v>5.0361881785283398</v>
      </c>
      <c r="D5" s="2">
        <f>VLOOKUP($A5,labour_force_simulation!$A$1:$O$47,10)*100</f>
        <v>91.988950279999898</v>
      </c>
      <c r="E5" s="3">
        <f>VLOOKUP($A5,labour_force_simulation!$A$1:$O$47,11)*0.1</f>
        <v>6632</v>
      </c>
      <c r="F5" s="3">
        <f>VLOOKUP($A5,labour_force_simulation!$A$1:$O$47,14)*0.1</f>
        <v>6298</v>
      </c>
      <c r="G5" s="3">
        <f>VLOOKUP($A5,labour_force_simulation!$A$1:$O$47,15)*0.1</f>
        <v>334</v>
      </c>
    </row>
    <row r="6" spans="1:7" x14ac:dyDescent="0.25">
      <c r="A6">
        <v>2015</v>
      </c>
      <c r="B6" s="2">
        <f>VLOOKUP($A6,labour_force_simulation!$A$1:$O$47,7)*100</f>
        <v>59.573052298395801</v>
      </c>
      <c r="C6" s="2">
        <f>VLOOKUP($A6,labour_force_simulation!$A$1:$O$47,9)*100</f>
        <v>3.3660377358490501</v>
      </c>
      <c r="D6" s="2">
        <f>VLOOKUP($A6,labour_force_simulation!$A$1:$O$47,10)*100</f>
        <v>92.703461180000005</v>
      </c>
      <c r="E6" s="3">
        <f>VLOOKUP($A6,labour_force_simulation!$A$1:$O$47,11)*0.1</f>
        <v>6625</v>
      </c>
      <c r="F6" s="3">
        <f>VLOOKUP($A6,labour_force_simulation!$A$1:$O$47,14)*0.1</f>
        <v>6402</v>
      </c>
      <c r="G6" s="3">
        <f>VLOOKUP($A6,labour_force_simulation!$A$1:$O$47,15)*0.1</f>
        <v>223</v>
      </c>
    </row>
    <row r="7" spans="1:7" x14ac:dyDescent="0.25">
      <c r="A7">
        <v>2020</v>
      </c>
      <c r="B7" s="2">
        <f>VLOOKUP($A7,labour_force_simulation!$A$1:$O$47,7)*100</f>
        <v>62.116384973990598</v>
      </c>
      <c r="C7" s="2">
        <f>VLOOKUP($A7,labour_force_simulation!$A$1:$O$47,9)*100</f>
        <v>2.7818023761228599</v>
      </c>
      <c r="D7" s="2">
        <f>VLOOKUP($A7,labour_force_simulation!$A$1:$O$47,10)*100</f>
        <v>100</v>
      </c>
      <c r="E7" s="3">
        <f>VLOOKUP($A7,labour_force_simulation!$A$1:$O$47,11)*0.1</f>
        <v>6902</v>
      </c>
      <c r="F7" s="3">
        <f>VLOOKUP($A7,labour_force_simulation!$A$1:$O$47,14)*0.1</f>
        <v>6710</v>
      </c>
      <c r="G7" s="3">
        <f>VLOOKUP($A7,labour_force_simulation!$A$1:$O$47,15)*0.1</f>
        <v>192</v>
      </c>
    </row>
    <row r="8" spans="1:7" x14ac:dyDescent="0.25">
      <c r="A8">
        <v>2025</v>
      </c>
      <c r="B8" s="2">
        <f>VLOOKUP($A8,labour_force_simulation!$A$1:$O$47,7)*100</f>
        <v>63.888204763338095</v>
      </c>
      <c r="C8" s="2">
        <f>VLOOKUP($A8,labour_force_simulation!$A$1:$O$47,9)*100</f>
        <v>2.5128498001142199</v>
      </c>
      <c r="D8" s="2">
        <f>VLOOKUP($A8,labour_force_simulation!$A$1:$O$47,10)*100</f>
        <v>110.51107979999999</v>
      </c>
      <c r="E8" s="3">
        <f>VLOOKUP($A8,labour_force_simulation!$A$1:$O$47,11)*0.1</f>
        <v>7004</v>
      </c>
      <c r="F8" s="3">
        <f>VLOOKUP($A8,labour_force_simulation!$A$1:$O$47,14)*0.1</f>
        <v>6828</v>
      </c>
      <c r="G8" s="3">
        <f>VLOOKUP($A8,labour_force_simulation!$A$1:$O$47,15)*0.1</f>
        <v>176</v>
      </c>
    </row>
    <row r="9" spans="1:7" x14ac:dyDescent="0.25">
      <c r="A9">
        <v>2030</v>
      </c>
      <c r="B9" s="2">
        <f>VLOOKUP($A9,labour_force_simulation!$A$1:$O$47,7)*100</f>
        <v>67.617640454346898</v>
      </c>
      <c r="C9" s="2">
        <f>VLOOKUP($A9,labour_force_simulation!$A$1:$O$47,9)*100</f>
        <v>2.22818530597283</v>
      </c>
      <c r="D9" s="2">
        <f>VLOOKUP($A9,labour_force_simulation!$A$1:$O$47,10)*100</f>
        <v>123.04216708983699</v>
      </c>
      <c r="E9" s="3">
        <f>VLOOKUP($A9,labour_force_simulation!$A$1:$O$47,11)*0.1</f>
        <v>7283.6189322544496</v>
      </c>
      <c r="F9" s="3">
        <f>VLOOKUP($A9,labour_force_simulation!$A$1:$O$47,14)*0.1</f>
        <v>7121.3264054629099</v>
      </c>
      <c r="G9" s="3">
        <f>VLOOKUP($A9,labour_force_simulation!$A$1:$O$47,15)*0.1</f>
        <v>162.29252679154899</v>
      </c>
    </row>
    <row r="10" spans="1:7" x14ac:dyDescent="0.25">
      <c r="A10">
        <v>2035</v>
      </c>
      <c r="B10" s="2">
        <f>VLOOKUP($A10,labour_force_simulation!$A$1:$O$47,7)*100</f>
        <v>70.224070138956591</v>
      </c>
      <c r="C10" s="2">
        <f>VLOOKUP($A10,labour_force_simulation!$A$1:$O$47,9)*100</f>
        <v>2.6352282904573601</v>
      </c>
      <c r="D10" s="2">
        <f>VLOOKUP($A10,labour_force_simulation!$A$1:$O$47,10)*100</f>
        <v>134.72343135944399</v>
      </c>
      <c r="E10" s="3">
        <f>VLOOKUP($A10,labour_force_simulation!$A$1:$O$47,11)*0.1</f>
        <v>7369.7707347292207</v>
      </c>
      <c r="F10" s="3">
        <f>VLOOKUP($A10,labour_force_simulation!$A$1:$O$47,14)*0.1</f>
        <v>7175.5604513857907</v>
      </c>
      <c r="G10" s="3">
        <f>VLOOKUP($A10,labour_force_simulation!$A$1:$O$47,15)*0.1</f>
        <v>194.21028334343202</v>
      </c>
    </row>
    <row r="11" spans="1:7" x14ac:dyDescent="0.25">
      <c r="A11">
        <v>2040</v>
      </c>
      <c r="B11" s="2">
        <f>VLOOKUP($A11,labour_force_simulation!$A$1:$O$47,7)*100</f>
        <v>71.935391321216599</v>
      </c>
      <c r="C11" s="2">
        <f>VLOOKUP($A11,labour_force_simulation!$A$1:$O$47,9)*100</f>
        <v>2.9813818209167402</v>
      </c>
      <c r="D11" s="2">
        <f>VLOOKUP($A11,labour_force_simulation!$A$1:$O$47,10)*100</f>
        <v>145.41626110085198</v>
      </c>
      <c r="E11" s="3">
        <f>VLOOKUP($A11,labour_force_simulation!$A$1:$O$47,11)*0.1</f>
        <v>7295.7802629568705</v>
      </c>
      <c r="F11" s="3">
        <f>VLOOKUP($A11,labour_force_simulation!$A$1:$O$47,14)*0.1</f>
        <v>7078.26519650304</v>
      </c>
      <c r="G11" s="3">
        <f>VLOOKUP($A11,labour_force_simulation!$A$1:$O$47,15)*0.1</f>
        <v>217.51506645382801</v>
      </c>
    </row>
  </sheetData>
  <phoneticPr fontId="18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labour_force_simulation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2026-05-23T04:11:44Z</dcterms:created>
  <dcterms:modified xsi:type="dcterms:W3CDTF">2026-05-23T04:14:34Z</dcterms:modified>
</cp:coreProperties>
</file>
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23DF6D23-AB4E-4981-8BC4-C23F3DB63B6B}" xr6:coauthVersionLast="47" xr6:coauthVersionMax="47" xr10:uidLastSave="{00000000-0000-0000-0000-000000000000}"/>
  <bookViews>
    <workbookView xWindow="-108" yWindow="-108" windowWidth="23256" windowHeight="12456" xr2:uid="{69463FB7-C361-49B8-A8FD-E57D74F44FE4}"/>
  </bookViews>
  <sheets>
    <sheet name="labour_force_simula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W2" i="1"/>
  <c r="V2" i="1"/>
  <c r="U2" i="1"/>
  <c r="U3" i="1"/>
  <c r="U4" i="1"/>
  <c r="U5" i="1"/>
  <c r="W5" i="1"/>
  <c r="U6" i="1"/>
  <c r="U7" i="1"/>
  <c r="W7" i="1"/>
  <c r="U8" i="1"/>
  <c r="U9" i="1"/>
  <c r="W9" i="1"/>
  <c r="U10" i="1"/>
  <c r="U11" i="1"/>
  <c r="U12" i="1"/>
  <c r="W12" i="1"/>
  <c r="U13" i="1"/>
  <c r="U14" i="1"/>
  <c r="W14" i="1"/>
  <c r="U15" i="1"/>
  <c r="W15" i="1"/>
  <c r="U16" i="1"/>
  <c r="W16" i="1"/>
  <c r="U17" i="1"/>
  <c r="U18" i="1"/>
  <c r="W18" i="1"/>
  <c r="U19" i="1"/>
  <c r="W19" i="1"/>
  <c r="U20" i="1"/>
  <c r="W20" i="1"/>
  <c r="U21" i="1"/>
  <c r="W21" i="1" s="1"/>
  <c r="U22" i="1"/>
  <c r="U23" i="1"/>
  <c r="W23" i="1"/>
  <c r="U24" i="1"/>
  <c r="U25" i="1"/>
  <c r="U26" i="1"/>
  <c r="W26" i="1"/>
  <c r="U27" i="1"/>
  <c r="U28" i="1"/>
  <c r="U29" i="1"/>
  <c r="W29" i="1"/>
  <c r="U30" i="1"/>
  <c r="U31" i="1"/>
  <c r="W31" i="1"/>
  <c r="U32" i="1"/>
  <c r="W32" i="1"/>
  <c r="U33" i="1"/>
  <c r="U34" i="1"/>
  <c r="U35" i="1"/>
  <c r="U36" i="1"/>
  <c r="W36" i="1"/>
  <c r="U37" i="1"/>
  <c r="U38" i="1"/>
  <c r="W38" i="1" s="1"/>
  <c r="U39" i="1"/>
  <c r="W39" i="1"/>
  <c r="U40" i="1"/>
  <c r="W40" i="1"/>
  <c r="U41" i="1"/>
  <c r="W41" i="1"/>
  <c r="U42" i="1"/>
  <c r="W42" i="1"/>
  <c r="U43" i="1"/>
  <c r="U44" i="1"/>
  <c r="U45" i="1"/>
  <c r="W45" i="1"/>
  <c r="U46" i="1"/>
  <c r="U47" i="1"/>
  <c r="W47" i="1"/>
  <c r="G3" i="2"/>
  <c r="G4" i="2"/>
  <c r="G5" i="2"/>
  <c r="G6" i="2"/>
  <c r="G7" i="2"/>
  <c r="G8" i="2"/>
  <c r="G9" i="2"/>
  <c r="G10" i="2"/>
  <c r="G11" i="2"/>
  <c r="G2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F3" i="2"/>
  <c r="F4" i="2"/>
  <c r="F5" i="2"/>
  <c r="F6" i="2"/>
  <c r="F7" i="2"/>
  <c r="F8" i="2"/>
  <c r="F2" i="2"/>
  <c r="E3" i="2"/>
  <c r="E4" i="2"/>
  <c r="E5" i="2"/>
  <c r="E6" i="2"/>
  <c r="E7" i="2"/>
  <c r="E8" i="2"/>
  <c r="E2" i="2"/>
  <c r="D3" i="2"/>
  <c r="D4" i="2"/>
  <c r="D5" i="2"/>
  <c r="D6" i="2"/>
  <c r="D7" i="2"/>
  <c r="D8" i="2"/>
  <c r="D2" i="2"/>
  <c r="C3" i="2"/>
  <c r="C4" i="2"/>
  <c r="C5" i="2"/>
  <c r="C6" i="2"/>
  <c r="C7" i="2"/>
  <c r="C8" i="2"/>
  <c r="C2" i="2"/>
  <c r="B3" i="2"/>
  <c r="B4" i="2"/>
  <c r="B5" i="2"/>
  <c r="B6" i="2"/>
  <c r="B7" i="2"/>
  <c r="B8" i="2"/>
  <c r="B2" i="2"/>
  <c r="W13" i="1" l="1"/>
  <c r="W17" i="1"/>
  <c r="W25" i="1"/>
  <c r="W33" i="1"/>
  <c r="W44" i="1"/>
  <c r="W46" i="1"/>
  <c r="W34" i="1"/>
  <c r="W37" i="1"/>
  <c r="W6" i="1"/>
  <c r="W4" i="1"/>
  <c r="W30" i="1"/>
  <c r="W8" i="1"/>
  <c r="W10" i="1"/>
  <c r="W24" i="1"/>
  <c r="W28" i="1"/>
  <c r="W27" i="1"/>
  <c r="W35" i="1"/>
  <c r="W22" i="1"/>
  <c r="W43" i="1"/>
  <c r="W11" i="1"/>
  <c r="W3" i="1"/>
</calcChain>
</file>

<file path=xl/sharedStrings.xml><?xml version="1.0" encoding="utf-8"?>
<sst xmlns="http://schemas.openxmlformats.org/spreadsheetml/2006/main" count="82" uniqueCount="32">
  <si>
    <t>year</t>
  </si>
  <si>
    <t>data_type</t>
  </si>
  <si>
    <t>POP</t>
  </si>
  <si>
    <t>RY</t>
  </si>
  <si>
    <t>D_GDP</t>
  </si>
  <si>
    <t>P</t>
  </si>
  <si>
    <t>PartRate</t>
  </si>
  <si>
    <t>ADD_LFPR</t>
  </si>
  <si>
    <t>U_rate</t>
  </si>
  <si>
    <t>W</t>
  </si>
  <si>
    <t>LS</t>
  </si>
  <si>
    <t>E</t>
  </si>
  <si>
    <t>E_RY</t>
  </si>
  <si>
    <t>E_est</t>
  </si>
  <si>
    <t>U</t>
  </si>
  <si>
    <t>actual</t>
  </si>
  <si>
    <t>simulation</t>
  </si>
  <si>
    <t>・総需要が拡大する中で就業者数が減少する理由</t>
    <rPh sb="1" eb="4">
      <t>ソウジュヨウ</t>
    </rPh>
    <rPh sb="5" eb="7">
      <t>カクダイ</t>
    </rPh>
    <rPh sb="9" eb="10">
      <t>ナカ</t>
    </rPh>
    <rPh sb="11" eb="14">
      <t>シュウギョウシャ</t>
    </rPh>
    <rPh sb="14" eb="15">
      <t>スウ</t>
    </rPh>
    <rPh sb="16" eb="18">
      <t>ゲンショウ</t>
    </rPh>
    <rPh sb="20" eb="22">
      <t>リユウ</t>
    </rPh>
    <phoneticPr fontId="18"/>
  </si>
  <si>
    <t>労働力人口、就業者数</t>
    <rPh sb="0" eb="3">
      <t>ロウドウリョク</t>
    </rPh>
    <rPh sb="3" eb="5">
      <t>ジンコウ</t>
    </rPh>
    <rPh sb="6" eb="9">
      <t>シュウギョウシャ</t>
    </rPh>
    <rPh sb="9" eb="10">
      <t>スウ</t>
    </rPh>
    <phoneticPr fontId="18"/>
  </si>
  <si>
    <t>労働力率、失業率（右軸）</t>
    <rPh sb="0" eb="3">
      <t>ロウドウリョク</t>
    </rPh>
    <rPh sb="3" eb="4">
      <t>リツ</t>
    </rPh>
    <rPh sb="5" eb="8">
      <t>シツギョウリツ</t>
    </rPh>
    <rPh sb="9" eb="11">
      <t>ミギジク</t>
    </rPh>
    <phoneticPr fontId="18"/>
  </si>
  <si>
    <t>賃金</t>
    <rPh sb="0" eb="2">
      <t>チンギン</t>
    </rPh>
    <phoneticPr fontId="18"/>
  </si>
  <si>
    <t>U</t>
    <phoneticPr fontId="18"/>
  </si>
  <si>
    <t>RY_1995</t>
    <phoneticPr fontId="18"/>
  </si>
  <si>
    <t>E_1995</t>
    <phoneticPr fontId="18"/>
  </si>
  <si>
    <t>E/RY</t>
    <phoneticPr fontId="18"/>
  </si>
  <si>
    <t>D_C</t>
  </si>
  <si>
    <t>H</t>
  </si>
  <si>
    <t>MHS</t>
  </si>
  <si>
    <t>MHD</t>
  </si>
  <si>
    <t>MHD_RY</t>
  </si>
  <si>
    <t>労働時間</t>
    <rPh sb="0" eb="4">
      <t>ロウドウジカン</t>
    </rPh>
    <phoneticPr fontId="18"/>
  </si>
  <si>
    <t>グレーの線は、労働投入量の付加価値額に対する比（資本集約的成長）</t>
    <rPh sb="4" eb="5">
      <t>セン</t>
    </rPh>
    <rPh sb="7" eb="12">
      <t>ロウドウトウニュウリョウ</t>
    </rPh>
    <rPh sb="13" eb="17">
      <t>フカカチ</t>
    </rPh>
    <rPh sb="17" eb="18">
      <t>ガク</t>
    </rPh>
    <rPh sb="19" eb="20">
      <t>タイ</t>
    </rPh>
    <rPh sb="22" eb="23">
      <t>ヒ</t>
    </rPh>
    <rPh sb="24" eb="26">
      <t>シホン</t>
    </rPh>
    <rPh sb="26" eb="29">
      <t>シュウヤクテキ</t>
    </rPh>
    <rPh sb="29" eb="31">
      <t>セイチョウ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</si>
</sst>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9" x14ac:knownFonts="1"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9"/>
      <color rgb="FF006100"/>
      <name val="Meiryo UI"/>
      <family val="2"/>
      <charset val="128"/>
    </font>
    <font>
      <sz val="9"/>
      <color rgb="FF9C0006"/>
      <name val="Meiryo UI"/>
      <family val="2"/>
      <charset val="128"/>
    </font>
    <font>
      <sz val="9"/>
      <color rgb="FF9C5700"/>
      <name val="Meiryo UI"/>
      <family val="2"/>
      <charset val="128"/>
    </font>
    <font>
      <sz val="9"/>
      <color rgb="FF3F3F76"/>
      <name val="Meiryo UI"/>
      <family val="2"/>
      <charset val="128"/>
    </font>
    <font>
      <b/>
      <sz val="9"/>
      <color rgb="FF3F3F3F"/>
      <name val="Meiryo UI"/>
      <family val="2"/>
      <charset val="128"/>
    </font>
    <font>
      <b/>
      <sz val="9"/>
      <color rgb="FFFA7D00"/>
      <name val="Meiryo UI"/>
      <family val="2"/>
      <charset val="128"/>
    </font>
    <font>
      <sz val="9"/>
      <color rgb="FFFA7D00"/>
      <name val="Meiryo UI"/>
      <family val="2"/>
      <charset val="128"/>
    </font>
    <font>
      <b/>
      <sz val="9"/>
      <color theme="0"/>
      <name val="Meiryo UI"/>
      <family val="2"/>
      <charset val="128"/>
    </font>
    <font>
      <sz val="9"/>
      <color rgb="FFFF0000"/>
      <name val="Meiryo UI"/>
      <family val="2"/>
      <charset val="128"/>
    </font>
    <font>
      <i/>
      <sz val="9"/>
      <color rgb="FF7F7F7F"/>
      <name val="Meiryo UI"/>
      <family val="2"/>
      <charset val="128"/>
    </font>
    <font>
      <b/>
      <sz val="9"/>
      <color theme="1"/>
      <name val="Meiryo UI"/>
      <family val="2"/>
      <charset val="128"/>
    </font>
    <font>
      <sz val="9"/>
      <color theme="0"/>
      <name val="Meiryo UI"/>
      <family val="2"/>
      <charset val="128"/>
    </font>
    <font>
      <sz val="6"/>
      <name val="Meiryo UI"/>
      <family val="2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labour_force_simulation!$M$2:$M$47</c:f>
              <c:numCache>
                <c:formatCode>General</c:formatCode>
                <c:ptCount val="46"/>
                <c:pt idx="0">
                  <c:v>66660</c:v>
                </c:pt>
                <c:pt idx="1">
                  <c:v>67110</c:v>
                </c:pt>
                <c:pt idx="2">
                  <c:v>67870</c:v>
                </c:pt>
                <c:pt idx="3">
                  <c:v>67930</c:v>
                </c:pt>
                <c:pt idx="4">
                  <c:v>67790</c:v>
                </c:pt>
                <c:pt idx="5">
                  <c:v>67660</c:v>
                </c:pt>
                <c:pt idx="6">
                  <c:v>67520</c:v>
                </c:pt>
                <c:pt idx="7">
                  <c:v>66890</c:v>
                </c:pt>
                <c:pt idx="8">
                  <c:v>66660</c:v>
                </c:pt>
                <c:pt idx="9">
                  <c:v>66420</c:v>
                </c:pt>
                <c:pt idx="10">
                  <c:v>66510</c:v>
                </c:pt>
                <c:pt idx="11">
                  <c:v>66640</c:v>
                </c:pt>
                <c:pt idx="12">
                  <c:v>66840</c:v>
                </c:pt>
                <c:pt idx="13">
                  <c:v>66740</c:v>
                </c:pt>
                <c:pt idx="14">
                  <c:v>66500</c:v>
                </c:pt>
                <c:pt idx="15">
                  <c:v>66320</c:v>
                </c:pt>
                <c:pt idx="16">
                  <c:v>65960</c:v>
                </c:pt>
                <c:pt idx="17">
                  <c:v>65650</c:v>
                </c:pt>
                <c:pt idx="18">
                  <c:v>65930</c:v>
                </c:pt>
                <c:pt idx="19">
                  <c:v>66090</c:v>
                </c:pt>
                <c:pt idx="20">
                  <c:v>66250</c:v>
                </c:pt>
                <c:pt idx="21">
                  <c:v>66780</c:v>
                </c:pt>
                <c:pt idx="22">
                  <c:v>67320</c:v>
                </c:pt>
                <c:pt idx="23">
                  <c:v>68490</c:v>
                </c:pt>
                <c:pt idx="24">
                  <c:v>69120</c:v>
                </c:pt>
                <c:pt idx="25">
                  <c:v>69020</c:v>
                </c:pt>
                <c:pt idx="26">
                  <c:v>69070</c:v>
                </c:pt>
                <c:pt idx="27">
                  <c:v>69020</c:v>
                </c:pt>
                <c:pt idx="28">
                  <c:v>69250</c:v>
                </c:pt>
                <c:pt idx="29">
                  <c:v>69570</c:v>
                </c:pt>
                <c:pt idx="30">
                  <c:v>70040</c:v>
                </c:pt>
                <c:pt idx="31">
                  <c:v>71599.808961890507</c:v>
                </c:pt>
                <c:pt idx="32">
                  <c:v>74050.296155954595</c:v>
                </c:pt>
                <c:pt idx="33">
                  <c:v>75906.3309958748</c:v>
                </c:pt>
                <c:pt idx="34">
                  <c:v>77265.793065261096</c:v>
                </c:pt>
                <c:pt idx="35">
                  <c:v>77912.030606500193</c:v>
                </c:pt>
                <c:pt idx="36">
                  <c:v>77753.848194833903</c:v>
                </c:pt>
                <c:pt idx="37">
                  <c:v>77105.056422016802</c:v>
                </c:pt>
                <c:pt idx="38">
                  <c:v>76444.986549918598</c:v>
                </c:pt>
                <c:pt idx="39">
                  <c:v>75890.209500555095</c:v>
                </c:pt>
                <c:pt idx="40">
                  <c:v>75413.756387778005</c:v>
                </c:pt>
                <c:pt idx="41">
                  <c:v>75010.347303944902</c:v>
                </c:pt>
                <c:pt idx="42">
                  <c:v>74694.203553825893</c:v>
                </c:pt>
                <c:pt idx="43">
                  <c:v>74344.277210815999</c:v>
                </c:pt>
                <c:pt idx="44">
                  <c:v>74007.185566661705</c:v>
                </c:pt>
                <c:pt idx="45">
                  <c:v>73662.511037226999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B-4914-BFFC-8FD355994DB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labour_force_simulation!$O$2:$O$47</c:f>
              <c:numCache>
                <c:formatCode>General</c:formatCode>
                <c:ptCount val="46"/>
                <c:pt idx="0">
                  <c:v>64570</c:v>
                </c:pt>
                <c:pt idx="1">
                  <c:v>64860</c:v>
                </c:pt>
                <c:pt idx="2">
                  <c:v>65570</c:v>
                </c:pt>
                <c:pt idx="3">
                  <c:v>65140</c:v>
                </c:pt>
                <c:pt idx="4">
                  <c:v>64620</c:v>
                </c:pt>
                <c:pt idx="5">
                  <c:v>64460</c:v>
                </c:pt>
                <c:pt idx="6">
                  <c:v>64120</c:v>
                </c:pt>
                <c:pt idx="7">
                  <c:v>63300</c:v>
                </c:pt>
                <c:pt idx="8">
                  <c:v>63160</c:v>
                </c:pt>
                <c:pt idx="9">
                  <c:v>63290</c:v>
                </c:pt>
                <c:pt idx="10">
                  <c:v>63560</c:v>
                </c:pt>
                <c:pt idx="11">
                  <c:v>63890</c:v>
                </c:pt>
                <c:pt idx="12">
                  <c:v>64270</c:v>
                </c:pt>
                <c:pt idx="13">
                  <c:v>64090</c:v>
                </c:pt>
                <c:pt idx="14">
                  <c:v>63140</c:v>
                </c:pt>
                <c:pt idx="15">
                  <c:v>62980</c:v>
                </c:pt>
                <c:pt idx="16">
                  <c:v>62930</c:v>
                </c:pt>
                <c:pt idx="17">
                  <c:v>62800</c:v>
                </c:pt>
                <c:pt idx="18">
                  <c:v>63260</c:v>
                </c:pt>
                <c:pt idx="19">
                  <c:v>63710</c:v>
                </c:pt>
                <c:pt idx="20">
                  <c:v>64020</c:v>
                </c:pt>
                <c:pt idx="21">
                  <c:v>64700</c:v>
                </c:pt>
                <c:pt idx="22">
                  <c:v>65420</c:v>
                </c:pt>
                <c:pt idx="23">
                  <c:v>66820</c:v>
                </c:pt>
                <c:pt idx="24">
                  <c:v>67500</c:v>
                </c:pt>
                <c:pt idx="25">
                  <c:v>67100</c:v>
                </c:pt>
                <c:pt idx="26">
                  <c:v>67130</c:v>
                </c:pt>
                <c:pt idx="27">
                  <c:v>67230</c:v>
                </c:pt>
                <c:pt idx="28">
                  <c:v>67470</c:v>
                </c:pt>
                <c:pt idx="29">
                  <c:v>67810</c:v>
                </c:pt>
                <c:pt idx="30">
                  <c:v>68280</c:v>
                </c:pt>
                <c:pt idx="31">
                  <c:v>73629.847564697906</c:v>
                </c:pt>
                <c:pt idx="32">
                  <c:v>76766.179229139394</c:v>
                </c:pt>
                <c:pt idx="33">
                  <c:v>77935.886644214101</c:v>
                </c:pt>
                <c:pt idx="34">
                  <c:v>77624.521647657399</c:v>
                </c:pt>
                <c:pt idx="35">
                  <c:v>76589.128430508397</c:v>
                </c:pt>
                <c:pt idx="36">
                  <c:v>75412.8411145133</c:v>
                </c:pt>
                <c:pt idx="37">
                  <c:v>74430.598241660904</c:v>
                </c:pt>
                <c:pt idx="38">
                  <c:v>73723.257438978893</c:v>
                </c:pt>
                <c:pt idx="39">
                  <c:v>73218.942179816906</c:v>
                </c:pt>
                <c:pt idx="40">
                  <c:v>72842.877826329801</c:v>
                </c:pt>
                <c:pt idx="41">
                  <c:v>72521.374337719302</c:v>
                </c:pt>
                <c:pt idx="42">
                  <c:v>72209.8143866194</c:v>
                </c:pt>
                <c:pt idx="43">
                  <c:v>71898.452919464995</c:v>
                </c:pt>
                <c:pt idx="44">
                  <c:v>71577.432067082394</c:v>
                </c:pt>
                <c:pt idx="45">
                  <c:v>71245.804083346506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B-4914-BFFC-8FD355994DB4}"/>
            </c:ext>
          </c:extLst>
        </c:ser>
        <c:ser>
          <c:idx val="2"/>
          <c:order val="2"/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labour_force_simulation!$S$2:$S$47</c:f>
              <c:numCache>
                <c:formatCode>General</c:formatCode>
                <c:ptCount val="46"/>
                <c:pt idx="0">
                  <c:v>64570</c:v>
                </c:pt>
                <c:pt idx="1">
                  <c:v>64860</c:v>
                </c:pt>
                <c:pt idx="2">
                  <c:v>65570</c:v>
                </c:pt>
                <c:pt idx="3">
                  <c:v>65140</c:v>
                </c:pt>
                <c:pt idx="4">
                  <c:v>64620</c:v>
                </c:pt>
                <c:pt idx="5">
                  <c:v>64460</c:v>
                </c:pt>
                <c:pt idx="6">
                  <c:v>64120</c:v>
                </c:pt>
                <c:pt idx="7">
                  <c:v>63300</c:v>
                </c:pt>
                <c:pt idx="8">
                  <c:v>63160</c:v>
                </c:pt>
                <c:pt idx="9">
                  <c:v>63290</c:v>
                </c:pt>
                <c:pt idx="10">
                  <c:v>63560</c:v>
                </c:pt>
                <c:pt idx="11">
                  <c:v>63890</c:v>
                </c:pt>
                <c:pt idx="12">
                  <c:v>64270</c:v>
                </c:pt>
                <c:pt idx="13">
                  <c:v>64090</c:v>
                </c:pt>
                <c:pt idx="14">
                  <c:v>63140</c:v>
                </c:pt>
                <c:pt idx="15">
                  <c:v>62980</c:v>
                </c:pt>
                <c:pt idx="16">
                  <c:v>62930</c:v>
                </c:pt>
                <c:pt idx="17">
                  <c:v>62800</c:v>
                </c:pt>
                <c:pt idx="18">
                  <c:v>63260</c:v>
                </c:pt>
                <c:pt idx="19">
                  <c:v>63710</c:v>
                </c:pt>
                <c:pt idx="20">
                  <c:v>64020</c:v>
                </c:pt>
                <c:pt idx="21">
                  <c:v>64700</c:v>
                </c:pt>
                <c:pt idx="22">
                  <c:v>65420</c:v>
                </c:pt>
                <c:pt idx="23">
                  <c:v>66820</c:v>
                </c:pt>
                <c:pt idx="24">
                  <c:v>67500</c:v>
                </c:pt>
                <c:pt idx="25">
                  <c:v>67100</c:v>
                </c:pt>
                <c:pt idx="26">
                  <c:v>67130</c:v>
                </c:pt>
                <c:pt idx="27">
                  <c:v>67230</c:v>
                </c:pt>
                <c:pt idx="28">
                  <c:v>67470</c:v>
                </c:pt>
                <c:pt idx="29">
                  <c:v>67810</c:v>
                </c:pt>
                <c:pt idx="30">
                  <c:v>68280</c:v>
                </c:pt>
                <c:pt idx="31">
                  <c:v>71036.567899467307</c:v>
                </c:pt>
                <c:pt idx="32">
                  <c:v>73673.360705947503</c:v>
                </c:pt>
                <c:pt idx="33">
                  <c:v>75467.0929886542</c:v>
                </c:pt>
                <c:pt idx="34">
                  <c:v>76515.147327450104</c:v>
                </c:pt>
                <c:pt idx="35">
                  <c:v>76549.806844729304</c:v>
                </c:pt>
                <c:pt idx="36">
                  <c:v>75701.448928908401</c:v>
                </c:pt>
                <c:pt idx="37">
                  <c:v>74651.760599983594</c:v>
                </c:pt>
                <c:pt idx="38">
                  <c:v>73863.296931297999</c:v>
                </c:pt>
                <c:pt idx="39">
                  <c:v>73317.074990685098</c:v>
                </c:pt>
                <c:pt idx="40">
                  <c:v>72915.266724324494</c:v>
                </c:pt>
                <c:pt idx="41">
                  <c:v>72585.654395629797</c:v>
                </c:pt>
                <c:pt idx="42">
                  <c:v>72288.278394379202</c:v>
                </c:pt>
                <c:pt idx="43">
                  <c:v>71970.139968914504</c:v>
                </c:pt>
                <c:pt idx="44">
                  <c:v>71651.590878967603</c:v>
                </c:pt>
                <c:pt idx="45">
                  <c:v>71320.729629710797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FB-4914-BFFC-8FD355994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244608"/>
        <c:axId val="1571245088"/>
      </c:lineChart>
      <c:catAx>
        <c:axId val="15712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50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71245088"/>
        <c:scaling>
          <c:orientation val="minMax"/>
          <c:max val="80000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labour_force_simulation!$K$2:$K$47</c:f>
              <c:numCache>
                <c:formatCode>General</c:formatCode>
                <c:ptCount val="46"/>
                <c:pt idx="0">
                  <c:v>0.93293718169999995</c:v>
                </c:pt>
                <c:pt idx="1">
                  <c:v>0.9423240034</c:v>
                </c:pt>
                <c:pt idx="2">
                  <c:v>0.97076526230000004</c:v>
                </c:pt>
                <c:pt idx="3">
                  <c:v>0.96869565219999998</c:v>
                </c:pt>
                <c:pt idx="4">
                  <c:v>0.96481970100000003</c:v>
                </c:pt>
                <c:pt idx="5">
                  <c:v>0.95895196510000003</c:v>
                </c:pt>
                <c:pt idx="6">
                  <c:v>0.95410414829999901</c:v>
                </c:pt>
                <c:pt idx="7">
                  <c:v>0.93493761139999998</c:v>
                </c:pt>
                <c:pt idx="8">
                  <c:v>0.92780748660000001</c:v>
                </c:pt>
                <c:pt idx="9">
                  <c:v>0.92170818509999997</c:v>
                </c:pt>
                <c:pt idx="10">
                  <c:v>0.93375111909999997</c:v>
                </c:pt>
                <c:pt idx="11">
                  <c:v>0.93137254899999999</c:v>
                </c:pt>
                <c:pt idx="12">
                  <c:v>0.92908438059999998</c:v>
                </c:pt>
                <c:pt idx="13">
                  <c:v>0.93738656989999902</c:v>
                </c:pt>
                <c:pt idx="14">
                  <c:v>0.92803738319999995</c:v>
                </c:pt>
                <c:pt idx="15">
                  <c:v>0.91988950279999904</c:v>
                </c:pt>
                <c:pt idx="16">
                  <c:v>0.9205909511</c:v>
                </c:pt>
                <c:pt idx="17">
                  <c:v>0.90725436179999996</c:v>
                </c:pt>
                <c:pt idx="18">
                  <c:v>0.91457753019999999</c:v>
                </c:pt>
                <c:pt idx="19">
                  <c:v>0.92264678469999994</c:v>
                </c:pt>
                <c:pt idx="20">
                  <c:v>0.92703461180000002</c:v>
                </c:pt>
                <c:pt idx="21">
                  <c:v>0.937911571</c:v>
                </c:pt>
                <c:pt idx="22">
                  <c:v>0.94439208289999999</c:v>
                </c:pt>
                <c:pt idx="23">
                  <c:v>0.9657794677</c:v>
                </c:pt>
                <c:pt idx="24">
                  <c:v>0.98347910589999998</c:v>
                </c:pt>
                <c:pt idx="25">
                  <c:v>1</c:v>
                </c:pt>
                <c:pt idx="26">
                  <c:v>0.99602780540000002</c:v>
                </c:pt>
                <c:pt idx="27">
                  <c:v>1.0148809519999999</c:v>
                </c:pt>
                <c:pt idx="28">
                  <c:v>1.0257680870000001</c:v>
                </c:pt>
                <c:pt idx="29">
                  <c:v>1.065141004</c:v>
                </c:pt>
                <c:pt idx="30">
                  <c:v>1.1051107979999999</c:v>
                </c:pt>
                <c:pt idx="31">
                  <c:v>1.1440817534510399</c:v>
                </c:pt>
                <c:pt idx="32">
                  <c:v>1.1842283705605401</c:v>
                </c:pt>
                <c:pt idx="33">
                  <c:v>1.2234654913804499</c:v>
                </c:pt>
                <c:pt idx="34">
                  <c:v>1.26025140924879</c:v>
                </c:pt>
                <c:pt idx="35">
                  <c:v>1.2905356238150401</c:v>
                </c:pt>
                <c:pt idx="36">
                  <c:v>1.3126670863688199</c:v>
                </c:pt>
                <c:pt idx="37">
                  <c:v>1.3297128546113199</c:v>
                </c:pt>
                <c:pt idx="38">
                  <c:v>1.34498988625422</c:v>
                </c:pt>
                <c:pt idx="39">
                  <c:v>1.3603043661377301</c:v>
                </c:pt>
                <c:pt idx="40">
                  <c:v>1.3766007478260101</c:v>
                </c:pt>
                <c:pt idx="41">
                  <c:v>1.39394173150578</c:v>
                </c:pt>
                <c:pt idx="42">
                  <c:v>1.41162338041476</c:v>
                </c:pt>
                <c:pt idx="43">
                  <c:v>1.4298278117635499</c:v>
                </c:pt>
                <c:pt idx="44">
                  <c:v>1.4483821657635101</c:v>
                </c:pt>
                <c:pt idx="45">
                  <c:v>1.4672201272368099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F-4AE4-ACB7-0289D5231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244608"/>
        <c:axId val="1571245088"/>
      </c:lineChart>
      <c:catAx>
        <c:axId val="15712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50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712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labour_force_simulation!$H$2:$H$47</c:f>
              <c:numCache>
                <c:formatCode>General</c:formatCode>
                <c:ptCount val="46"/>
                <c:pt idx="0">
                  <c:v>0.63151313047102897</c:v>
                </c:pt>
                <c:pt idx="1">
                  <c:v>0.63208160266734403</c:v>
                </c:pt>
                <c:pt idx="2">
                  <c:v>0.63554044816510702</c:v>
                </c:pt>
                <c:pt idx="3">
                  <c:v>0.63241879474551499</c:v>
                </c:pt>
                <c:pt idx="4">
                  <c:v>0.62812138058837097</c:v>
                </c:pt>
                <c:pt idx="5">
                  <c:v>0.62385896324709</c:v>
                </c:pt>
                <c:pt idx="6">
                  <c:v>0.61926205827593395</c:v>
                </c:pt>
                <c:pt idx="7">
                  <c:v>0.61151539530461496</c:v>
                </c:pt>
                <c:pt idx="8">
                  <c:v>0.60716465219648597</c:v>
                </c:pt>
                <c:pt idx="9">
                  <c:v>0.60352739134780498</c:v>
                </c:pt>
                <c:pt idx="10">
                  <c:v>0.603281721951617</c:v>
                </c:pt>
                <c:pt idx="11">
                  <c:v>0.60326254232071397</c:v>
                </c:pt>
                <c:pt idx="12">
                  <c:v>0.60357594365179701</c:v>
                </c:pt>
                <c:pt idx="13">
                  <c:v>0.60176001731164497</c:v>
                </c:pt>
                <c:pt idx="14">
                  <c:v>0.59898577746552395</c:v>
                </c:pt>
                <c:pt idx="15">
                  <c:v>0.59611339816995301</c:v>
                </c:pt>
                <c:pt idx="16">
                  <c:v>0.59354443934526502</c:v>
                </c:pt>
                <c:pt idx="17">
                  <c:v>0.59119644111449299</c:v>
                </c:pt>
                <c:pt idx="18">
                  <c:v>0.59383556708459395</c:v>
                </c:pt>
                <c:pt idx="19">
                  <c:v>0.595383950127923</c:v>
                </c:pt>
                <c:pt idx="20">
                  <c:v>0.59573052298395801</c:v>
                </c:pt>
                <c:pt idx="21">
                  <c:v>0.60036140354031597</c:v>
                </c:pt>
                <c:pt idx="22">
                  <c:v>0.60497133305774697</c:v>
                </c:pt>
                <c:pt idx="23">
                  <c:v>0.615496603041087</c:v>
                </c:pt>
                <c:pt idx="24">
                  <c:v>0.62104657849338696</c:v>
                </c:pt>
                <c:pt idx="25">
                  <c:v>0.62116384973990602</c:v>
                </c:pt>
                <c:pt idx="26">
                  <c:v>0.62374136451889595</c:v>
                </c:pt>
                <c:pt idx="27">
                  <c:v>0.62482460190289901</c:v>
                </c:pt>
                <c:pt idx="28">
                  <c:v>0.62836869135981699</c:v>
                </c:pt>
                <c:pt idx="29">
                  <c:v>0.63286302977376296</c:v>
                </c:pt>
                <c:pt idx="30">
                  <c:v>0.63888204763338097</c:v>
                </c:pt>
                <c:pt idx="31">
                  <c:v>0.65504006149607996</c:v>
                </c:pt>
                <c:pt idx="32">
                  <c:v>0.679709723857712</c:v>
                </c:pt>
                <c:pt idx="33">
                  <c:v>0.69918509815293095</c:v>
                </c:pt>
                <c:pt idx="34">
                  <c:v>0.71445816826568798</c:v>
                </c:pt>
                <c:pt idx="35">
                  <c:v>0.723289583142251</c:v>
                </c:pt>
                <c:pt idx="36">
                  <c:v>0.72494380863208097</c:v>
                </c:pt>
                <c:pt idx="37">
                  <c:v>0.72236327920195598</c:v>
                </c:pt>
                <c:pt idx="38">
                  <c:v>0.71987519351663598</c:v>
                </c:pt>
                <c:pt idx="39">
                  <c:v>0.718718541358213</c:v>
                </c:pt>
                <c:pt idx="40">
                  <c:v>0.718582120552826</c:v>
                </c:pt>
                <c:pt idx="41">
                  <c:v>0.71919947173883103</c:v>
                </c:pt>
                <c:pt idx="42">
                  <c:v>0.72097956152764797</c:v>
                </c:pt>
                <c:pt idx="43">
                  <c:v>0.72269422102260195</c:v>
                </c:pt>
                <c:pt idx="44">
                  <c:v>0.72453067273642102</c:v>
                </c:pt>
                <c:pt idx="45">
                  <c:v>0.72632581038106603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2-4DD8-8C57-367BBF118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44608"/>
        <c:axId val="1571245088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labour_force_simulation!$J$2:$J$47</c:f>
              <c:numCache>
                <c:formatCode>General</c:formatCode>
                <c:ptCount val="46"/>
                <c:pt idx="0">
                  <c:v>3.1353135313531302E-2</c:v>
                </c:pt>
                <c:pt idx="1">
                  <c:v>3.3527045149754103E-2</c:v>
                </c:pt>
                <c:pt idx="2">
                  <c:v>3.3888315898040297E-2</c:v>
                </c:pt>
                <c:pt idx="3">
                  <c:v>4.1071691447077799E-2</c:v>
                </c:pt>
                <c:pt idx="4">
                  <c:v>4.6762059300781797E-2</c:v>
                </c:pt>
                <c:pt idx="5">
                  <c:v>4.7295300029559499E-2</c:v>
                </c:pt>
                <c:pt idx="6">
                  <c:v>5.0355450236966803E-2</c:v>
                </c:pt>
                <c:pt idx="7">
                  <c:v>5.3670204813873502E-2</c:v>
                </c:pt>
                <c:pt idx="8">
                  <c:v>5.2505250525052498E-2</c:v>
                </c:pt>
                <c:pt idx="9">
                  <c:v>4.7124360132490203E-2</c:v>
                </c:pt>
                <c:pt idx="10">
                  <c:v>4.4354232446248601E-2</c:v>
                </c:pt>
                <c:pt idx="11">
                  <c:v>4.1266506602641001E-2</c:v>
                </c:pt>
                <c:pt idx="12">
                  <c:v>3.84500299222022E-2</c:v>
                </c:pt>
                <c:pt idx="13">
                  <c:v>3.9706323044650799E-2</c:v>
                </c:pt>
                <c:pt idx="14">
                  <c:v>5.05263157894736E-2</c:v>
                </c:pt>
                <c:pt idx="15">
                  <c:v>5.0361881785283398E-2</c:v>
                </c:pt>
                <c:pt idx="16">
                  <c:v>4.5936931473620303E-2</c:v>
                </c:pt>
                <c:pt idx="17">
                  <c:v>4.3412033511043398E-2</c:v>
                </c:pt>
                <c:pt idx="18">
                  <c:v>4.0497497345669597E-2</c:v>
                </c:pt>
                <c:pt idx="19">
                  <c:v>3.6011499470419102E-2</c:v>
                </c:pt>
                <c:pt idx="20">
                  <c:v>3.3660377358490499E-2</c:v>
                </c:pt>
                <c:pt idx="21">
                  <c:v>3.11470500149745E-2</c:v>
                </c:pt>
                <c:pt idx="22">
                  <c:v>2.82234105763517E-2</c:v>
                </c:pt>
                <c:pt idx="23">
                  <c:v>2.43831216235946E-2</c:v>
                </c:pt>
                <c:pt idx="24">
                  <c:v>2.34375E-2</c:v>
                </c:pt>
                <c:pt idx="25">
                  <c:v>2.7818023761228598E-2</c:v>
                </c:pt>
                <c:pt idx="26">
                  <c:v>2.8087447517011699E-2</c:v>
                </c:pt>
                <c:pt idx="27">
                  <c:v>2.5934511735728701E-2</c:v>
                </c:pt>
                <c:pt idx="28">
                  <c:v>2.5703971119133501E-2</c:v>
                </c:pt>
                <c:pt idx="29">
                  <c:v>2.5298260744573801E-2</c:v>
                </c:pt>
                <c:pt idx="30">
                  <c:v>2.51284980011422E-2</c:v>
                </c:pt>
                <c:pt idx="31">
                  <c:v>7.8665162741282397E-3</c:v>
                </c:pt>
                <c:pt idx="32">
                  <c:v>5.0902625590218201E-3</c:v>
                </c:pt>
                <c:pt idx="33">
                  <c:v>5.7865793466481503E-3</c:v>
                </c:pt>
                <c:pt idx="34">
                  <c:v>9.7151107628826398E-3</c:v>
                </c:pt>
                <c:pt idx="35">
                  <c:v>1.7484126022216901E-2</c:v>
                </c:pt>
                <c:pt idx="36">
                  <c:v>2.63961117497701E-2</c:v>
                </c:pt>
                <c:pt idx="37">
                  <c:v>3.18175737866737E-2</c:v>
                </c:pt>
                <c:pt idx="38">
                  <c:v>3.3771863076131899E-2</c:v>
                </c:pt>
                <c:pt idx="39">
                  <c:v>3.3906014053778001E-2</c:v>
                </c:pt>
                <c:pt idx="40">
                  <c:v>3.3130423189720003E-2</c:v>
                </c:pt>
                <c:pt idx="41">
                  <c:v>3.2324779120007703E-2</c:v>
                </c:pt>
                <c:pt idx="42">
                  <c:v>3.2210332863553202E-2</c:v>
                </c:pt>
                <c:pt idx="43">
                  <c:v>3.1934364432237697E-2</c:v>
                </c:pt>
                <c:pt idx="44">
                  <c:v>3.1829269950718102E-2</c:v>
                </c:pt>
                <c:pt idx="45">
                  <c:v>3.1790681237199699E-2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82-4DD8-8C57-367BBF118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433616"/>
        <c:axId val="1693861760"/>
      </c:lineChart>
      <c:catAx>
        <c:axId val="15712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50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7124508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4608"/>
        <c:crosses val="autoZero"/>
        <c:crossBetween val="between"/>
      </c:valAx>
      <c:valAx>
        <c:axId val="16938617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1433616"/>
        <c:crosses val="max"/>
        <c:crossBetween val="between"/>
      </c:valAx>
      <c:catAx>
        <c:axId val="1681433616"/>
        <c:scaling>
          <c:orientation val="minMax"/>
        </c:scaling>
        <c:delete val="1"/>
        <c:axPos val="b"/>
        <c:majorTickMark val="out"/>
        <c:minorTickMark val="none"/>
        <c:tickLblPos val="nextTo"/>
        <c:crossAx val="1693861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labour_force_simulation!$U$2:$U$47</c:f>
              <c:numCache>
                <c:formatCode>General</c:formatCode>
                <c:ptCount val="46"/>
                <c:pt idx="0">
                  <c:v>100</c:v>
                </c:pt>
                <c:pt idx="1">
                  <c:v>103.06422584889465</c:v>
                </c:pt>
                <c:pt idx="2">
                  <c:v>104.45810378552184</c:v>
                </c:pt>
                <c:pt idx="3">
                  <c:v>102.60455600521566</c:v>
                </c:pt>
                <c:pt idx="4">
                  <c:v>102.24441455441335</c:v>
                </c:pt>
                <c:pt idx="5">
                  <c:v>105.26756730294369</c:v>
                </c:pt>
                <c:pt idx="6">
                  <c:v>105.57106538604948</c:v>
                </c:pt>
                <c:pt idx="7">
                  <c:v>105.66559686234504</c:v>
                </c:pt>
                <c:pt idx="8">
                  <c:v>107.15380395969791</c:v>
                </c:pt>
                <c:pt idx="9">
                  <c:v>109.4138939686414</c:v>
                </c:pt>
                <c:pt idx="10">
                  <c:v>111.38548314503277</c:v>
                </c:pt>
                <c:pt idx="11">
                  <c:v>113.15965075006372</c:v>
                </c:pt>
                <c:pt idx="12">
                  <c:v>115.14376948695136</c:v>
                </c:pt>
                <c:pt idx="13">
                  <c:v>113.80169099073602</c:v>
                </c:pt>
                <c:pt idx="14">
                  <c:v>106.98248359288895</c:v>
                </c:pt>
                <c:pt idx="15">
                  <c:v>111.4478472441502</c:v>
                </c:pt>
                <c:pt idx="16">
                  <c:v>111.21449606373157</c:v>
                </c:pt>
                <c:pt idx="17">
                  <c:v>112.98866291562295</c:v>
                </c:pt>
                <c:pt idx="18">
                  <c:v>115.28524034841119</c:v>
                </c:pt>
                <c:pt idx="19">
                  <c:v>116.36350265024547</c:v>
                </c:pt>
                <c:pt idx="20">
                  <c:v>118.43258286778007</c:v>
                </c:pt>
                <c:pt idx="21">
                  <c:v>119.23170459257688</c:v>
                </c:pt>
                <c:pt idx="22">
                  <c:v>121.19364165596625</c:v>
                </c:pt>
                <c:pt idx="23">
                  <c:v>122.18341768984907</c:v>
                </c:pt>
                <c:pt idx="24">
                  <c:v>121.88907829368263</c:v>
                </c:pt>
                <c:pt idx="25">
                  <c:v>116.56737553142256</c:v>
                </c:pt>
                <c:pt idx="26">
                  <c:v>120.78943917774608</c:v>
                </c:pt>
                <c:pt idx="27">
                  <c:v>122.31874595561472</c:v>
                </c:pt>
                <c:pt idx="28">
                  <c:v>123.31337807063348</c:v>
                </c:pt>
                <c:pt idx="29">
                  <c:v>122.97681401031085</c:v>
                </c:pt>
                <c:pt idx="30">
                  <c:v>124.45873638773175</c:v>
                </c:pt>
                <c:pt idx="31">
                  <c:v>126.1669935538377</c:v>
                </c:pt>
                <c:pt idx="32">
                  <c:v>126.79096484272354</c:v>
                </c:pt>
                <c:pt idx="33">
                  <c:v>127.42051282006256</c:v>
                </c:pt>
                <c:pt idx="34">
                  <c:v>128.0531866835407</c:v>
                </c:pt>
                <c:pt idx="35">
                  <c:v>128.6890018752074</c:v>
                </c:pt>
                <c:pt idx="36">
                  <c:v>129.32797413466147</c:v>
                </c:pt>
                <c:pt idx="37">
                  <c:v>129.97011896045797</c:v>
                </c:pt>
                <c:pt idx="38">
                  <c:v>130.6154522689163</c:v>
                </c:pt>
                <c:pt idx="39">
                  <c:v>131.13428217856426</c:v>
                </c:pt>
                <c:pt idx="40">
                  <c:v>131.65517314542257</c:v>
                </c:pt>
                <c:pt idx="41">
                  <c:v>132.15709091303094</c:v>
                </c:pt>
                <c:pt idx="42">
                  <c:v>132.64058383277808</c:v>
                </c:pt>
                <c:pt idx="43">
                  <c:v>133.10739848380834</c:v>
                </c:pt>
                <c:pt idx="44">
                  <c:v>133.55701394789875</c:v>
                </c:pt>
                <c:pt idx="45">
                  <c:v>133.99008681877748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B-4048-87DB-71FD870DA48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labour_force_simulation!$V$2:$V$47</c:f>
              <c:numCache>
                <c:formatCode>General</c:formatCode>
                <c:ptCount val="46"/>
                <c:pt idx="0">
                  <c:v>100</c:v>
                </c:pt>
                <c:pt idx="1">
                  <c:v>100.44912498064116</c:v>
                </c:pt>
                <c:pt idx="2">
                  <c:v>101.54870682979711</c:v>
                </c:pt>
                <c:pt idx="3">
                  <c:v>100.88276289298437</c:v>
                </c:pt>
                <c:pt idx="4">
                  <c:v>100.07743534148985</c:v>
                </c:pt>
                <c:pt idx="5">
                  <c:v>99.829642248722323</c:v>
                </c:pt>
                <c:pt idx="6">
                  <c:v>99.30308192659129</c:v>
                </c:pt>
                <c:pt idx="7">
                  <c:v>98.033142326157659</c:v>
                </c:pt>
                <c:pt idx="8">
                  <c:v>97.816323369986051</c:v>
                </c:pt>
                <c:pt idx="9">
                  <c:v>98.017655257859687</c:v>
                </c:pt>
                <c:pt idx="10">
                  <c:v>98.435806101904916</c:v>
                </c:pt>
                <c:pt idx="11">
                  <c:v>98.946879355737963</c:v>
                </c:pt>
                <c:pt idx="12">
                  <c:v>99.535387951060855</c:v>
                </c:pt>
                <c:pt idx="13">
                  <c:v>99.256620721697388</c:v>
                </c:pt>
                <c:pt idx="14">
                  <c:v>97.785349233390122</c:v>
                </c:pt>
                <c:pt idx="15">
                  <c:v>97.537556140622584</c:v>
                </c:pt>
                <c:pt idx="16">
                  <c:v>97.460120799132724</c:v>
                </c:pt>
                <c:pt idx="17">
                  <c:v>97.258788911259103</c:v>
                </c:pt>
                <c:pt idx="18">
                  <c:v>97.971194052965771</c:v>
                </c:pt>
                <c:pt idx="19">
                  <c:v>98.668112126374467</c:v>
                </c:pt>
                <c:pt idx="20">
                  <c:v>99.148211243611584</c:v>
                </c:pt>
                <c:pt idx="21">
                  <c:v>100.20133188787364</c:v>
                </c:pt>
                <c:pt idx="22">
                  <c:v>101.31640080532756</c:v>
                </c:pt>
                <c:pt idx="23">
                  <c:v>103.48459036704352</c:v>
                </c:pt>
                <c:pt idx="24">
                  <c:v>104.53771101130556</c:v>
                </c:pt>
                <c:pt idx="25">
                  <c:v>103.91822827938671</c:v>
                </c:pt>
                <c:pt idx="26">
                  <c:v>103.96468948428061</c:v>
                </c:pt>
                <c:pt idx="27">
                  <c:v>104.11956016726035</c:v>
                </c:pt>
                <c:pt idx="28">
                  <c:v>104.49124980641164</c:v>
                </c:pt>
                <c:pt idx="29">
                  <c:v>105.01781012854268</c:v>
                </c:pt>
                <c:pt idx="30">
                  <c:v>105.74570233854732</c:v>
                </c:pt>
                <c:pt idx="31">
                  <c:v>110.01481787125182</c:v>
                </c:pt>
                <c:pt idx="32">
                  <c:v>114.09843689940762</c:v>
                </c:pt>
                <c:pt idx="33">
                  <c:v>116.87640233646306</c:v>
                </c:pt>
                <c:pt idx="34">
                  <c:v>118.49953124895478</c:v>
                </c:pt>
                <c:pt idx="35">
                  <c:v>118.55320868008255</c:v>
                </c:pt>
                <c:pt idx="36">
                  <c:v>117.23935098173828</c:v>
                </c:pt>
                <c:pt idx="37">
                  <c:v>115.6136914975741</c:v>
                </c:pt>
                <c:pt idx="38">
                  <c:v>114.39259242883382</c:v>
                </c:pt>
                <c:pt idx="39">
                  <c:v>113.54665477882158</c:v>
                </c:pt>
                <c:pt idx="40">
                  <c:v>112.92437157243998</c:v>
                </c:pt>
                <c:pt idx="41">
                  <c:v>112.41389870780516</c:v>
                </c:pt>
                <c:pt idx="42">
                  <c:v>111.95335046365062</c:v>
                </c:pt>
                <c:pt idx="43">
                  <c:v>111.46064731131253</c:v>
                </c:pt>
                <c:pt idx="44">
                  <c:v>110.96730816008611</c:v>
                </c:pt>
                <c:pt idx="45">
                  <c:v>110.45490108364689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B-4048-87DB-71FD870DA48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labour_force_simulation!$W$2:$W$47</c:f>
              <c:numCache>
                <c:formatCode>General</c:formatCode>
                <c:ptCount val="46"/>
                <c:pt idx="0">
                  <c:v>100</c:v>
                </c:pt>
                <c:pt idx="1">
                  <c:v>97.462649288136532</c:v>
                </c:pt>
                <c:pt idx="2">
                  <c:v>97.214771424820768</c:v>
                </c:pt>
                <c:pt idx="3">
                  <c:v>98.321913588180479</c:v>
                </c:pt>
                <c:pt idx="4">
                  <c:v>97.880589152603278</c:v>
                </c:pt>
                <c:pt idx="5">
                  <c:v>94.834187591158198</c:v>
                </c:pt>
                <c:pt idx="6">
                  <c:v>94.062782793242079</c:v>
                </c:pt>
                <c:pt idx="7">
                  <c:v>92.776783775583553</c:v>
                </c:pt>
                <c:pt idx="8">
                  <c:v>91.28590843753544</c:v>
                </c:pt>
                <c:pt idx="9">
                  <c:v>89.584285599004517</c:v>
                </c:pt>
                <c:pt idx="10">
                  <c:v>88.373999306295289</c:v>
                </c:pt>
                <c:pt idx="11">
                  <c:v>87.440071350416616</c:v>
                </c:pt>
                <c:pt idx="12">
                  <c:v>86.444441062302275</c:v>
                </c:pt>
                <c:pt idx="13">
                  <c:v>87.218933091053401</c:v>
                </c:pt>
                <c:pt idx="14">
                  <c:v>91.403139980842468</c:v>
                </c:pt>
                <c:pt idx="15">
                  <c:v>87.518564559570038</c:v>
                </c:pt>
                <c:pt idx="16">
                  <c:v>87.63256971760508</c:v>
                </c:pt>
                <c:pt idx="17">
                  <c:v>86.07836078553251</c:v>
                </c:pt>
                <c:pt idx="18">
                  <c:v>84.981558573222827</c:v>
                </c:pt>
                <c:pt idx="19">
                  <c:v>84.793006294200211</c:v>
                </c:pt>
                <c:pt idx="20">
                  <c:v>83.717004934615119</c:v>
                </c:pt>
                <c:pt idx="21">
                  <c:v>84.039167459920691</c:v>
                </c:pt>
                <c:pt idx="22">
                  <c:v>83.598775827642484</c:v>
                </c:pt>
                <c:pt idx="23">
                  <c:v>84.69610060321709</c:v>
                </c:pt>
                <c:pt idx="24">
                  <c:v>85.76462507939371</c:v>
                </c:pt>
                <c:pt idx="25">
                  <c:v>89.148638549706334</c:v>
                </c:pt>
                <c:pt idx="26">
                  <c:v>86.071009346514785</c:v>
                </c:pt>
                <c:pt idx="27">
                  <c:v>85.12150721774222</c:v>
                </c:pt>
                <c:pt idx="28">
                  <c:v>84.73634527030751</c:v>
                </c:pt>
                <c:pt idx="29">
                  <c:v>85.396431005065381</c:v>
                </c:pt>
                <c:pt idx="30">
                  <c:v>84.964467266575085</c:v>
                </c:pt>
                <c:pt idx="31">
                  <c:v>87.197780316693169</c:v>
                </c:pt>
                <c:pt idx="32">
                  <c:v>89.989406611851066</c:v>
                </c:pt>
                <c:pt idx="33">
                  <c:v>91.724950519945395</c:v>
                </c:pt>
                <c:pt idx="34">
                  <c:v>92.539306766183032</c:v>
                </c:pt>
                <c:pt idx="35">
                  <c:v>92.123807747802914</c:v>
                </c:pt>
                <c:pt idx="36">
                  <c:v>90.652739104738444</c:v>
                </c:pt>
                <c:pt idx="37">
                  <c:v>88.954055303087273</c:v>
                </c:pt>
                <c:pt idx="38">
                  <c:v>87.579677933754567</c:v>
                </c:pt>
                <c:pt idx="39">
                  <c:v>86.58807818401462</c:v>
                </c:pt>
                <c:pt idx="40">
                  <c:v>85.772832828761636</c:v>
                </c:pt>
                <c:pt idx="41">
                  <c:v>85.060815073314345</c:v>
                </c:pt>
                <c:pt idx="42">
                  <c:v>84.403541682832042</c:v>
                </c:pt>
                <c:pt idx="43">
                  <c:v>83.737379425134662</c:v>
                </c:pt>
                <c:pt idx="44">
                  <c:v>83.086095503284469</c:v>
                </c:pt>
                <c:pt idx="45">
                  <c:v>82.435129124916457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CB-4048-87DB-71FD870DA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933471"/>
        <c:axId val="1527939231"/>
      </c:lineChart>
      <c:catAx>
        <c:axId val="152793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7939231"/>
        <c:crosses val="autoZero"/>
        <c:auto val="1"/>
        <c:lblAlgn val="ctr"/>
        <c:lblOffset val="100"/>
        <c:noMultiLvlLbl val="0"/>
      </c:catAx>
      <c:valAx>
        <c:axId val="152793923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2793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labour_force_simulation!$A$2:$A$47</c:f>
              <c:numCache>
                <c:formatCode>General</c:formatCode>
                <c:ptCount val="4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</c:numCache>
            </c:numRef>
          </c:cat>
          <c:val>
            <c:numRef>
              <c:f>labour_force_simulation!$L$2:$L$47</c:f>
              <c:numCache>
                <c:formatCode>General</c:formatCode>
                <c:ptCount val="46"/>
                <c:pt idx="0">
                  <c:v>117.8</c:v>
                </c:pt>
                <c:pt idx="1">
                  <c:v>117.9</c:v>
                </c:pt>
                <c:pt idx="2">
                  <c:v>116.3</c:v>
                </c:pt>
                <c:pt idx="3">
                  <c:v>115</c:v>
                </c:pt>
                <c:pt idx="4">
                  <c:v>113.7</c:v>
                </c:pt>
                <c:pt idx="5">
                  <c:v>114.5</c:v>
                </c:pt>
                <c:pt idx="6">
                  <c:v>113.3</c:v>
                </c:pt>
                <c:pt idx="7">
                  <c:v>112.2</c:v>
                </c:pt>
                <c:pt idx="8">
                  <c:v>112.2</c:v>
                </c:pt>
                <c:pt idx="9">
                  <c:v>112.4</c:v>
                </c:pt>
                <c:pt idx="10">
                  <c:v>111.7</c:v>
                </c:pt>
                <c:pt idx="11">
                  <c:v>112.2</c:v>
                </c:pt>
                <c:pt idx="12">
                  <c:v>111.4</c:v>
                </c:pt>
                <c:pt idx="13">
                  <c:v>110.2</c:v>
                </c:pt>
                <c:pt idx="14">
                  <c:v>107</c:v>
                </c:pt>
                <c:pt idx="15">
                  <c:v>108.6</c:v>
                </c:pt>
                <c:pt idx="16">
                  <c:v>108.3</c:v>
                </c:pt>
                <c:pt idx="17">
                  <c:v>108.9</c:v>
                </c:pt>
                <c:pt idx="18">
                  <c:v>107.7</c:v>
                </c:pt>
                <c:pt idx="19">
                  <c:v>107.3</c:v>
                </c:pt>
                <c:pt idx="20">
                  <c:v>106.9</c:v>
                </c:pt>
                <c:pt idx="21">
                  <c:v>106.3</c:v>
                </c:pt>
                <c:pt idx="22">
                  <c:v>106.1</c:v>
                </c:pt>
                <c:pt idx="23">
                  <c:v>105.2</c:v>
                </c:pt>
                <c:pt idx="24">
                  <c:v>102.9</c:v>
                </c:pt>
                <c:pt idx="25">
                  <c:v>100</c:v>
                </c:pt>
                <c:pt idx="26">
                  <c:v>100.7</c:v>
                </c:pt>
                <c:pt idx="27">
                  <c:v>100.8</c:v>
                </c:pt>
                <c:pt idx="28">
                  <c:v>100.9</c:v>
                </c:pt>
                <c:pt idx="29">
                  <c:v>99.891000000000005</c:v>
                </c:pt>
                <c:pt idx="30">
                  <c:v>98.492525999999998</c:v>
                </c:pt>
                <c:pt idx="31">
                  <c:v>92.5419540954491</c:v>
                </c:pt>
                <c:pt idx="32">
                  <c:v>88.978807218882494</c:v>
                </c:pt>
                <c:pt idx="33">
                  <c:v>86.950272169451594</c:v>
                </c:pt>
                <c:pt idx="34">
                  <c:v>85.981280989656696</c:v>
                </c:pt>
                <c:pt idx="35">
                  <c:v>85.561245735490601</c:v>
                </c:pt>
                <c:pt idx="36">
                  <c:v>85.3792650584912</c:v>
                </c:pt>
                <c:pt idx="37">
                  <c:v>85.289684526502796</c:v>
                </c:pt>
                <c:pt idx="38">
                  <c:v>85.232011914010897</c:v>
                </c:pt>
                <c:pt idx="39">
                  <c:v>85.188465253239102</c:v>
                </c:pt>
                <c:pt idx="40">
                  <c:v>85.151029007410401</c:v>
                </c:pt>
                <c:pt idx="41">
                  <c:v>85.119492339868799</c:v>
                </c:pt>
                <c:pt idx="42">
                  <c:v>85.093301238008493</c:v>
                </c:pt>
                <c:pt idx="43">
                  <c:v>85.072031232417899</c:v>
                </c:pt>
                <c:pt idx="44">
                  <c:v>85.055506577126494</c:v>
                </c:pt>
                <c:pt idx="45">
                  <c:v>85.042778165112196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7-4DDF-9363-71CD510A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244608"/>
        <c:axId val="1571245088"/>
      </c:lineChart>
      <c:catAx>
        <c:axId val="157124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50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712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124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24</xdr:row>
      <xdr:rowOff>0</xdr:rowOff>
    </xdr:from>
    <xdr:to>
      <xdr:col>31</xdr:col>
      <xdr:colOff>304800</xdr:colOff>
      <xdr:row>41</xdr:row>
      <xdr:rowOff>22860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BF71351-E229-416D-A6EA-0B7E9A1D0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7620</xdr:colOff>
      <xdr:row>48</xdr:row>
      <xdr:rowOff>60960</xdr:rowOff>
    </xdr:from>
    <xdr:to>
      <xdr:col>31</xdr:col>
      <xdr:colOff>312420</xdr:colOff>
      <xdr:row>65</xdr:row>
      <xdr:rowOff>83820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9EDE8F7-D4FD-42AA-9EE0-C43A744D8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24</xdr:row>
      <xdr:rowOff>0</xdr:rowOff>
    </xdr:from>
    <xdr:to>
      <xdr:col>39</xdr:col>
      <xdr:colOff>304800</xdr:colOff>
      <xdr:row>41</xdr:row>
      <xdr:rowOff>22860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A61F6E7-2903-4D87-B1E7-F9E755F76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41910</xdr:colOff>
      <xdr:row>69</xdr:row>
      <xdr:rowOff>68580</xdr:rowOff>
    </xdr:from>
    <xdr:to>
      <xdr:col>31</xdr:col>
      <xdr:colOff>346710</xdr:colOff>
      <xdr:row>86</xdr:row>
      <xdr:rowOff>91440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8C2A7E3-4534-9CA2-9DDC-56FC5F23A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76200</xdr:colOff>
      <xdr:row>48</xdr:row>
      <xdr:rowOff>83820</xdr:rowOff>
    </xdr:from>
    <xdr:to>
      <xdr:col>39</xdr:col>
      <xdr:colOff>381000</xdr:colOff>
      <xdr:row>65</xdr:row>
      <xdr:rowOff>106680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4638843-3B54-4AA8-9928-B3037C573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8CA2-AA7C-4999-820F-D84672938E40}">
  <dimension ref="A1:AG69"/>
  <sheetViews>
    <sheetView tabSelected="1" workbookViewId="0">
      <pane xSplit="2" ySplit="1" topLeftCell="U60" activePane="bottomRight" state="frozen"/>
      <selection pane="topRight" activeCell="C1" sqref="C1"/>
      <selection pane="bottomLeft" activeCell="A2" sqref="A2"/>
      <selection pane="bottomRight" activeCell="AO86" sqref="AO86"/>
    </sheetView>
  </sheetViews>
  <sheetFormatPr defaultRowHeight="12.6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26</v>
      </c>
      <c r="M1" t="s">
        <v>10</v>
      </c>
      <c r="N1" t="s">
        <v>27</v>
      </c>
      <c r="O1" t="s">
        <v>11</v>
      </c>
      <c r="P1" t="s">
        <v>28</v>
      </c>
      <c r="Q1" t="s">
        <v>12</v>
      </c>
      <c r="R1" t="s">
        <v>29</v>
      </c>
      <c r="S1" t="s">
        <v>13</v>
      </c>
      <c r="T1" t="s">
        <v>14</v>
      </c>
      <c r="U1" s="4" t="s">
        <v>22</v>
      </c>
      <c r="V1" s="4" t="s">
        <v>23</v>
      </c>
      <c r="W1" s="4" t="s">
        <v>24</v>
      </c>
      <c r="X1" s="4"/>
    </row>
    <row r="2" spans="1:24" x14ac:dyDescent="0.25">
      <c r="A2">
        <v>1995</v>
      </c>
      <c r="B2" t="s">
        <v>15</v>
      </c>
      <c r="C2">
        <v>105556</v>
      </c>
      <c r="D2">
        <v>475325.44802867301</v>
      </c>
      <c r="E2">
        <v>1.1159999999999899</v>
      </c>
      <c r="F2">
        <v>1.052</v>
      </c>
      <c r="G2">
        <v>0.95899999999999996</v>
      </c>
      <c r="H2">
        <v>0.63151313047102897</v>
      </c>
      <c r="I2">
        <v>0</v>
      </c>
      <c r="J2">
        <v>3.1353135313531302E-2</v>
      </c>
      <c r="K2">
        <v>0.93293718169999995</v>
      </c>
      <c r="L2">
        <v>117.8</v>
      </c>
      <c r="M2">
        <v>66660</v>
      </c>
      <c r="N2">
        <v>7852548</v>
      </c>
      <c r="O2">
        <v>64570</v>
      </c>
      <c r="P2">
        <v>7606346</v>
      </c>
      <c r="Q2">
        <v>0.135843768238777</v>
      </c>
      <c r="R2">
        <v>16.002395898527901</v>
      </c>
      <c r="S2">
        <v>64570</v>
      </c>
      <c r="T2">
        <v>2090</v>
      </c>
      <c r="U2">
        <f>D2/D$2*100</f>
        <v>100</v>
      </c>
      <c r="V2">
        <f>S2/S$2*100</f>
        <v>100</v>
      </c>
      <c r="W2">
        <f>V2/U2*100</f>
        <v>100</v>
      </c>
    </row>
    <row r="3" spans="1:24" x14ac:dyDescent="0.25">
      <c r="A3">
        <v>1996</v>
      </c>
      <c r="B3" t="s">
        <v>15</v>
      </c>
      <c r="C3">
        <v>106173</v>
      </c>
      <c r="D3">
        <v>489890.49327354197</v>
      </c>
      <c r="E3">
        <v>1.115</v>
      </c>
      <c r="F3">
        <v>1.054</v>
      </c>
      <c r="G3">
        <v>0.96</v>
      </c>
      <c r="H3">
        <v>0.63208160266734403</v>
      </c>
      <c r="I3">
        <v>0</v>
      </c>
      <c r="J3">
        <v>3.3527045149754103E-2</v>
      </c>
      <c r="K3">
        <v>0.9423240034</v>
      </c>
      <c r="L3">
        <v>117.9</v>
      </c>
      <c r="M3">
        <v>67110</v>
      </c>
      <c r="N3">
        <v>7912269</v>
      </c>
      <c r="O3">
        <v>64860</v>
      </c>
      <c r="P3">
        <v>7646994</v>
      </c>
      <c r="Q3">
        <v>0.13239693541834799</v>
      </c>
      <c r="R3">
        <v>15.609598685823199</v>
      </c>
      <c r="S3">
        <v>64860</v>
      </c>
      <c r="T3">
        <v>2250</v>
      </c>
      <c r="U3">
        <f t="shared" ref="U3:U47" si="0">D3/D$2*100</f>
        <v>103.06422584889465</v>
      </c>
      <c r="V3">
        <f t="shared" ref="V3:V47" si="1">S3/S$2*100</f>
        <v>100.44912498064116</v>
      </c>
      <c r="W3">
        <f t="shared" ref="W3:W47" si="2">V3/U3*100</f>
        <v>97.462649288136532</v>
      </c>
    </row>
    <row r="4" spans="1:24" x14ac:dyDescent="0.25">
      <c r="A4">
        <v>1997</v>
      </c>
      <c r="B4" t="s">
        <v>15</v>
      </c>
      <c r="C4">
        <v>106791</v>
      </c>
      <c r="D4">
        <v>496515.949820788</v>
      </c>
      <c r="E4">
        <v>1.1159999999999899</v>
      </c>
      <c r="F4">
        <v>1.0669999999999999</v>
      </c>
      <c r="G4">
        <v>0.97699999999999998</v>
      </c>
      <c r="H4">
        <v>0.63554044816510702</v>
      </c>
      <c r="I4">
        <v>0</v>
      </c>
      <c r="J4">
        <v>3.3888315898040297E-2</v>
      </c>
      <c r="K4">
        <v>0.97076526230000004</v>
      </c>
      <c r="L4">
        <v>116.3</v>
      </c>
      <c r="M4">
        <v>67870</v>
      </c>
      <c r="N4">
        <v>7893281</v>
      </c>
      <c r="O4">
        <v>65570</v>
      </c>
      <c r="P4">
        <v>7625791</v>
      </c>
      <c r="Q4">
        <v>0.13206020878819</v>
      </c>
      <c r="R4">
        <v>15.358602282066499</v>
      </c>
      <c r="S4">
        <v>65570</v>
      </c>
      <c r="T4">
        <v>2300</v>
      </c>
      <c r="U4">
        <f t="shared" si="0"/>
        <v>104.45810378552184</v>
      </c>
      <c r="V4">
        <f t="shared" si="1"/>
        <v>101.54870682979711</v>
      </c>
      <c r="W4">
        <f t="shared" si="2"/>
        <v>97.214771424820768</v>
      </c>
    </row>
    <row r="5" spans="1:24" x14ac:dyDescent="0.25">
      <c r="A5">
        <v>1998</v>
      </c>
      <c r="B5" t="s">
        <v>15</v>
      </c>
      <c r="C5">
        <v>107413</v>
      </c>
      <c r="D5">
        <v>487705.56552962202</v>
      </c>
      <c r="E5">
        <v>1.1140000000000001</v>
      </c>
      <c r="F5">
        <v>1.0680000000000001</v>
      </c>
      <c r="G5">
        <v>0.98299999999999998</v>
      </c>
      <c r="H5">
        <v>0.63241879474551499</v>
      </c>
      <c r="I5">
        <v>0</v>
      </c>
      <c r="J5">
        <v>4.1071691447077799E-2</v>
      </c>
      <c r="K5">
        <v>0.96869565219999998</v>
      </c>
      <c r="L5">
        <v>115</v>
      </c>
      <c r="M5">
        <v>67930</v>
      </c>
      <c r="N5">
        <v>7811950</v>
      </c>
      <c r="O5">
        <v>65140</v>
      </c>
      <c r="P5">
        <v>7491100</v>
      </c>
      <c r="Q5">
        <v>0.13356419242265799</v>
      </c>
      <c r="R5">
        <v>15.359882128605699</v>
      </c>
      <c r="S5">
        <v>65140</v>
      </c>
      <c r="T5">
        <v>2790</v>
      </c>
      <c r="U5">
        <f t="shared" si="0"/>
        <v>102.60455600521566</v>
      </c>
      <c r="V5">
        <f t="shared" si="1"/>
        <v>100.88276289298437</v>
      </c>
      <c r="W5">
        <f t="shared" si="2"/>
        <v>98.321913588180479</v>
      </c>
    </row>
    <row r="6" spans="1:24" x14ac:dyDescent="0.25">
      <c r="A6">
        <v>1999</v>
      </c>
      <c r="B6" t="s">
        <v>15</v>
      </c>
      <c r="C6">
        <v>107925</v>
      </c>
      <c r="D6">
        <v>485993.72156505898</v>
      </c>
      <c r="E6">
        <v>1.099</v>
      </c>
      <c r="F6">
        <v>1.0609999999999999</v>
      </c>
      <c r="G6">
        <v>0.98</v>
      </c>
      <c r="H6">
        <v>0.62812138058837097</v>
      </c>
      <c r="I6">
        <v>0</v>
      </c>
      <c r="J6">
        <v>4.6762059300781797E-2</v>
      </c>
      <c r="K6">
        <v>0.96481970100000003</v>
      </c>
      <c r="L6">
        <v>113.7</v>
      </c>
      <c r="M6">
        <v>67790</v>
      </c>
      <c r="N6">
        <v>7707723</v>
      </c>
      <c r="O6">
        <v>64620</v>
      </c>
      <c r="P6">
        <v>7347294</v>
      </c>
      <c r="Q6">
        <v>0.13296468067921199</v>
      </c>
      <c r="R6">
        <v>15.1180841932264</v>
      </c>
      <c r="S6">
        <v>64620</v>
      </c>
      <c r="T6">
        <v>3170</v>
      </c>
      <c r="U6">
        <f t="shared" si="0"/>
        <v>102.24441455441335</v>
      </c>
      <c r="V6">
        <f t="shared" si="1"/>
        <v>100.07743534148985</v>
      </c>
      <c r="W6">
        <f t="shared" si="2"/>
        <v>97.880589152603278</v>
      </c>
    </row>
    <row r="7" spans="1:24" x14ac:dyDescent="0.25">
      <c r="A7">
        <v>2000</v>
      </c>
      <c r="B7" t="s">
        <v>15</v>
      </c>
      <c r="C7">
        <v>108454</v>
      </c>
      <c r="D7">
        <v>500363.53591160203</v>
      </c>
      <c r="E7">
        <v>1.0859999999999901</v>
      </c>
      <c r="F7">
        <v>1.0509999999999999</v>
      </c>
      <c r="G7">
        <v>0.97299999999999998</v>
      </c>
      <c r="H7">
        <v>0.62385896324709</v>
      </c>
      <c r="I7">
        <v>0</v>
      </c>
      <c r="J7">
        <v>4.7295300029559499E-2</v>
      </c>
      <c r="K7">
        <v>0.95895196510000003</v>
      </c>
      <c r="L7">
        <v>114.5</v>
      </c>
      <c r="M7">
        <v>67660</v>
      </c>
      <c r="N7">
        <v>7747070</v>
      </c>
      <c r="O7">
        <v>64460</v>
      </c>
      <c r="P7">
        <v>7380670</v>
      </c>
      <c r="Q7">
        <v>0.12882633400245999</v>
      </c>
      <c r="R7">
        <v>14.750615243281599</v>
      </c>
      <c r="S7">
        <v>64460</v>
      </c>
      <c r="T7">
        <v>3200</v>
      </c>
      <c r="U7">
        <f t="shared" si="0"/>
        <v>105.26756730294369</v>
      </c>
      <c r="V7">
        <f t="shared" si="1"/>
        <v>99.829642248722323</v>
      </c>
      <c r="W7">
        <f t="shared" si="2"/>
        <v>94.834187591158198</v>
      </c>
    </row>
    <row r="8" spans="1:24" x14ac:dyDescent="0.25">
      <c r="A8">
        <v>2001</v>
      </c>
      <c r="B8" t="s">
        <v>15</v>
      </c>
      <c r="C8">
        <v>109033</v>
      </c>
      <c r="D8">
        <v>501806.13953488303</v>
      </c>
      <c r="E8">
        <v>1.075</v>
      </c>
      <c r="F8">
        <v>1.0369999999999999</v>
      </c>
      <c r="G8">
        <v>0.96699999999999997</v>
      </c>
      <c r="H8">
        <v>0.61926205827593395</v>
      </c>
      <c r="I8">
        <v>0</v>
      </c>
      <c r="J8">
        <v>5.0355450236966803E-2</v>
      </c>
      <c r="K8">
        <v>0.95410414829999901</v>
      </c>
      <c r="L8">
        <v>113.3</v>
      </c>
      <c r="M8">
        <v>67520</v>
      </c>
      <c r="N8">
        <v>7650016</v>
      </c>
      <c r="O8">
        <v>64120</v>
      </c>
      <c r="P8">
        <v>7264796</v>
      </c>
      <c r="Q8">
        <v>0.127778428656596</v>
      </c>
      <c r="R8">
        <v>14.477295966792299</v>
      </c>
      <c r="S8">
        <v>64120</v>
      </c>
      <c r="T8">
        <v>3400</v>
      </c>
      <c r="U8">
        <f t="shared" si="0"/>
        <v>105.57106538604948</v>
      </c>
      <c r="V8">
        <f t="shared" si="1"/>
        <v>99.30308192659129</v>
      </c>
      <c r="W8">
        <f t="shared" si="2"/>
        <v>94.062782793242079</v>
      </c>
    </row>
    <row r="9" spans="1:24" x14ac:dyDescent="0.25">
      <c r="A9">
        <v>2002</v>
      </c>
      <c r="B9" t="s">
        <v>15</v>
      </c>
      <c r="C9">
        <v>109384</v>
      </c>
      <c r="D9">
        <v>502255.47169811302</v>
      </c>
      <c r="E9">
        <v>1.06</v>
      </c>
      <c r="F9">
        <v>1.022</v>
      </c>
      <c r="G9">
        <v>0.95799999999999996</v>
      </c>
      <c r="H9">
        <v>0.61151539530461496</v>
      </c>
      <c r="I9">
        <v>0</v>
      </c>
      <c r="J9">
        <v>5.3670204813873502E-2</v>
      </c>
      <c r="K9">
        <v>0.93493761139999998</v>
      </c>
      <c r="L9">
        <v>112.2</v>
      </c>
      <c r="M9">
        <v>66890</v>
      </c>
      <c r="N9">
        <v>7505058</v>
      </c>
      <c r="O9">
        <v>63300</v>
      </c>
      <c r="P9">
        <v>7102260</v>
      </c>
      <c r="Q9">
        <v>0.12603147913149501</v>
      </c>
      <c r="R9">
        <v>14.140731958553699</v>
      </c>
      <c r="S9">
        <v>63300</v>
      </c>
      <c r="T9">
        <v>3590</v>
      </c>
      <c r="U9">
        <f t="shared" si="0"/>
        <v>105.66559686234504</v>
      </c>
      <c r="V9">
        <f t="shared" si="1"/>
        <v>98.033142326157659</v>
      </c>
      <c r="W9">
        <f t="shared" si="2"/>
        <v>92.776783775583553</v>
      </c>
    </row>
    <row r="10" spans="1:24" x14ac:dyDescent="0.25">
      <c r="A10">
        <v>2003</v>
      </c>
      <c r="B10" t="s">
        <v>15</v>
      </c>
      <c r="C10">
        <v>109789</v>
      </c>
      <c r="D10">
        <v>509329.29875120003</v>
      </c>
      <c r="E10">
        <v>1.0409999999999999</v>
      </c>
      <c r="F10">
        <v>1.0109999999999999</v>
      </c>
      <c r="G10">
        <v>0.95499999999999996</v>
      </c>
      <c r="H10">
        <v>0.60716465219648597</v>
      </c>
      <c r="I10">
        <v>0</v>
      </c>
      <c r="J10">
        <v>5.2505250525052498E-2</v>
      </c>
      <c r="K10">
        <v>0.92780748660000001</v>
      </c>
      <c r="L10">
        <v>112.2</v>
      </c>
      <c r="M10">
        <v>66660</v>
      </c>
      <c r="N10">
        <v>7479252</v>
      </c>
      <c r="O10">
        <v>63160</v>
      </c>
      <c r="P10">
        <v>7086552</v>
      </c>
      <c r="Q10">
        <v>0.124006217892547</v>
      </c>
      <c r="R10">
        <v>13.913497647543799</v>
      </c>
      <c r="S10">
        <v>63160</v>
      </c>
      <c r="T10">
        <v>3500</v>
      </c>
      <c r="U10">
        <f t="shared" si="0"/>
        <v>107.15380395969791</v>
      </c>
      <c r="V10">
        <f t="shared" si="1"/>
        <v>97.816323369986051</v>
      </c>
      <c r="W10">
        <f t="shared" si="2"/>
        <v>91.28590843753544</v>
      </c>
    </row>
    <row r="11" spans="1:24" x14ac:dyDescent="0.25">
      <c r="A11">
        <v>2004</v>
      </c>
      <c r="B11" t="s">
        <v>15</v>
      </c>
      <c r="C11">
        <v>110053</v>
      </c>
      <c r="D11">
        <v>520072.081712062</v>
      </c>
      <c r="E11">
        <v>1.028</v>
      </c>
      <c r="F11">
        <v>1.006</v>
      </c>
      <c r="G11">
        <v>0.95499999999999996</v>
      </c>
      <c r="H11">
        <v>0.60352739134780498</v>
      </c>
      <c r="I11">
        <v>0</v>
      </c>
      <c r="J11">
        <v>4.7124360132490203E-2</v>
      </c>
      <c r="K11">
        <v>0.92170818509999997</v>
      </c>
      <c r="L11">
        <v>112.4</v>
      </c>
      <c r="M11">
        <v>66420</v>
      </c>
      <c r="N11">
        <v>7465608</v>
      </c>
      <c r="O11">
        <v>63290</v>
      </c>
      <c r="P11">
        <v>7113796</v>
      </c>
      <c r="Q11">
        <v>0.121694669307475</v>
      </c>
      <c r="R11">
        <v>13.678480830160201</v>
      </c>
      <c r="S11">
        <v>63290</v>
      </c>
      <c r="T11">
        <v>3130</v>
      </c>
      <c r="U11">
        <f t="shared" si="0"/>
        <v>109.4138939686414</v>
      </c>
      <c r="V11">
        <f t="shared" si="1"/>
        <v>98.017655257859687</v>
      </c>
      <c r="W11">
        <f t="shared" si="2"/>
        <v>89.584285599004517</v>
      </c>
    </row>
    <row r="12" spans="1:24" x14ac:dyDescent="0.25">
      <c r="A12">
        <v>2005</v>
      </c>
      <c r="B12" t="s">
        <v>15</v>
      </c>
      <c r="C12">
        <v>110247</v>
      </c>
      <c r="D12">
        <v>529443.54679802898</v>
      </c>
      <c r="E12">
        <v>1.0149999999999999</v>
      </c>
      <c r="F12">
        <v>0.997</v>
      </c>
      <c r="G12">
        <v>0.95199999999999996</v>
      </c>
      <c r="H12">
        <v>0.603281721951617</v>
      </c>
      <c r="I12">
        <v>0</v>
      </c>
      <c r="J12">
        <v>4.4354232446248601E-2</v>
      </c>
      <c r="K12">
        <v>0.93375111909999997</v>
      </c>
      <c r="L12">
        <v>111.7</v>
      </c>
      <c r="M12">
        <v>66510</v>
      </c>
      <c r="N12">
        <v>7429167</v>
      </c>
      <c r="O12">
        <v>63560</v>
      </c>
      <c r="P12">
        <v>7099652</v>
      </c>
      <c r="Q12">
        <v>0.120050570800982</v>
      </c>
      <c r="R12">
        <v>13.4096487584697</v>
      </c>
      <c r="S12">
        <v>63560</v>
      </c>
      <c r="T12">
        <v>2950</v>
      </c>
      <c r="U12">
        <f t="shared" si="0"/>
        <v>111.38548314503277</v>
      </c>
      <c r="V12">
        <f t="shared" si="1"/>
        <v>98.435806101904916</v>
      </c>
      <c r="W12">
        <f t="shared" si="2"/>
        <v>88.373999306295289</v>
      </c>
    </row>
    <row r="13" spans="1:24" x14ac:dyDescent="0.25">
      <c r="A13">
        <v>2006</v>
      </c>
      <c r="B13" t="s">
        <v>15</v>
      </c>
      <c r="C13">
        <v>110466</v>
      </c>
      <c r="D13">
        <v>537876.61691542203</v>
      </c>
      <c r="E13">
        <v>1.0049999999999999</v>
      </c>
      <c r="F13">
        <v>0.997</v>
      </c>
      <c r="G13">
        <v>0.95499999999999996</v>
      </c>
      <c r="H13">
        <v>0.60326254232071397</v>
      </c>
      <c r="I13">
        <v>0</v>
      </c>
      <c r="J13">
        <v>4.1266506602641001E-2</v>
      </c>
      <c r="K13">
        <v>0.93137254899999999</v>
      </c>
      <c r="L13">
        <v>112.2</v>
      </c>
      <c r="M13">
        <v>66640</v>
      </c>
      <c r="N13">
        <v>7477008</v>
      </c>
      <c r="O13">
        <v>63890</v>
      </c>
      <c r="P13">
        <v>7168458</v>
      </c>
      <c r="Q13">
        <v>0.118781887873081</v>
      </c>
      <c r="R13">
        <v>13.3273278193597</v>
      </c>
      <c r="S13">
        <v>63890</v>
      </c>
      <c r="T13">
        <v>2750</v>
      </c>
      <c r="U13">
        <f t="shared" si="0"/>
        <v>113.15965075006372</v>
      </c>
      <c r="V13">
        <f t="shared" si="1"/>
        <v>98.946879355737963</v>
      </c>
      <c r="W13">
        <f t="shared" si="2"/>
        <v>87.440071350416616</v>
      </c>
    </row>
    <row r="14" spans="1:24" x14ac:dyDescent="0.25">
      <c r="A14">
        <v>2007</v>
      </c>
      <c r="B14" t="s">
        <v>15</v>
      </c>
      <c r="C14">
        <v>110740</v>
      </c>
      <c r="D14">
        <v>547307.63819095399</v>
      </c>
      <c r="E14">
        <v>0.995</v>
      </c>
      <c r="F14">
        <v>0.99299999999999999</v>
      </c>
      <c r="G14">
        <v>0.95499999999999996</v>
      </c>
      <c r="H14">
        <v>0.60357594365179701</v>
      </c>
      <c r="I14">
        <v>0</v>
      </c>
      <c r="J14">
        <v>3.84500299222022E-2</v>
      </c>
      <c r="K14">
        <v>0.92908438059999998</v>
      </c>
      <c r="L14">
        <v>111.4</v>
      </c>
      <c r="M14">
        <v>66840</v>
      </c>
      <c r="N14">
        <v>7445976</v>
      </c>
      <c r="O14">
        <v>64270</v>
      </c>
      <c r="P14">
        <v>7159678</v>
      </c>
      <c r="Q14">
        <v>0.11742938617198</v>
      </c>
      <c r="R14">
        <v>13.081633619558501</v>
      </c>
      <c r="S14">
        <v>64270</v>
      </c>
      <c r="T14">
        <v>2570</v>
      </c>
      <c r="U14">
        <f t="shared" si="0"/>
        <v>115.14376948695136</v>
      </c>
      <c r="V14">
        <f t="shared" si="1"/>
        <v>99.535387951060855</v>
      </c>
      <c r="W14">
        <f t="shared" si="2"/>
        <v>86.444441062302275</v>
      </c>
    </row>
    <row r="15" spans="1:24" x14ac:dyDescent="0.25">
      <c r="A15">
        <v>2008</v>
      </c>
      <c r="B15" t="s">
        <v>15</v>
      </c>
      <c r="C15">
        <v>110908</v>
      </c>
      <c r="D15">
        <v>540928.397565922</v>
      </c>
      <c r="E15">
        <v>0.98599999999999999</v>
      </c>
      <c r="F15">
        <v>1</v>
      </c>
      <c r="G15">
        <v>0.96799999999999997</v>
      </c>
      <c r="H15">
        <v>0.60176001731164497</v>
      </c>
      <c r="I15">
        <v>0</v>
      </c>
      <c r="J15">
        <v>3.9706323044650799E-2</v>
      </c>
      <c r="K15">
        <v>0.93738656989999902</v>
      </c>
      <c r="L15">
        <v>110.2</v>
      </c>
      <c r="M15">
        <v>66740</v>
      </c>
      <c r="N15">
        <v>7354748</v>
      </c>
      <c r="O15">
        <v>64090</v>
      </c>
      <c r="P15">
        <v>7062718</v>
      </c>
      <c r="Q15">
        <v>0.118481485328544</v>
      </c>
      <c r="R15">
        <v>13.0566596832056</v>
      </c>
      <c r="S15">
        <v>64090</v>
      </c>
      <c r="T15">
        <v>2650</v>
      </c>
      <c r="U15">
        <f t="shared" si="0"/>
        <v>113.80169099073602</v>
      </c>
      <c r="V15">
        <f t="shared" si="1"/>
        <v>99.256620721697388</v>
      </c>
      <c r="W15">
        <f t="shared" si="2"/>
        <v>87.218933091053401</v>
      </c>
    </row>
    <row r="16" spans="1:24" x14ac:dyDescent="0.25">
      <c r="A16">
        <v>2009</v>
      </c>
      <c r="B16" t="s">
        <v>15</v>
      </c>
      <c r="C16">
        <v>111021</v>
      </c>
      <c r="D16">
        <v>508514.96945010102</v>
      </c>
      <c r="E16">
        <v>0.98199999999999998</v>
      </c>
      <c r="F16">
        <v>0.97599999999999998</v>
      </c>
      <c r="G16">
        <v>0.95499999999999996</v>
      </c>
      <c r="H16">
        <v>0.59898577746552395</v>
      </c>
      <c r="I16">
        <v>0</v>
      </c>
      <c r="J16">
        <v>5.05263157894736E-2</v>
      </c>
      <c r="K16">
        <v>0.92803738319999995</v>
      </c>
      <c r="L16">
        <v>107</v>
      </c>
      <c r="M16">
        <v>66500</v>
      </c>
      <c r="N16">
        <v>7115500</v>
      </c>
      <c r="O16">
        <v>63140</v>
      </c>
      <c r="P16">
        <v>6755980</v>
      </c>
      <c r="Q16">
        <v>0.12416546963854</v>
      </c>
      <c r="R16">
        <v>13.285705251323799</v>
      </c>
      <c r="S16">
        <v>63140</v>
      </c>
      <c r="T16">
        <v>3360</v>
      </c>
      <c r="U16">
        <f t="shared" si="0"/>
        <v>106.98248359288895</v>
      </c>
      <c r="V16">
        <f t="shared" si="1"/>
        <v>97.785349233390122</v>
      </c>
      <c r="W16">
        <f t="shared" si="2"/>
        <v>91.403139980842468</v>
      </c>
    </row>
    <row r="17" spans="1:33" x14ac:dyDescent="0.25">
      <c r="A17">
        <v>2010</v>
      </c>
      <c r="B17" t="s">
        <v>15</v>
      </c>
      <c r="C17">
        <v>111254</v>
      </c>
      <c r="D17">
        <v>529739.97923156805</v>
      </c>
      <c r="E17">
        <v>0.96299999999999997</v>
      </c>
      <c r="F17">
        <v>0.96199999999999997</v>
      </c>
      <c r="G17">
        <v>0.94799999999999995</v>
      </c>
      <c r="H17">
        <v>0.59611339816995301</v>
      </c>
      <c r="I17">
        <v>0</v>
      </c>
      <c r="J17">
        <v>5.0361881785283398E-2</v>
      </c>
      <c r="K17">
        <v>0.91988950279999904</v>
      </c>
      <c r="L17">
        <v>108.6</v>
      </c>
      <c r="M17">
        <v>66320</v>
      </c>
      <c r="N17">
        <v>7202352</v>
      </c>
      <c r="O17">
        <v>62980</v>
      </c>
      <c r="P17">
        <v>6839628</v>
      </c>
      <c r="Q17">
        <v>0.11888851600620599</v>
      </c>
      <c r="R17">
        <v>12.911292838274001</v>
      </c>
      <c r="S17">
        <v>62980</v>
      </c>
      <c r="T17">
        <v>3340</v>
      </c>
      <c r="U17">
        <f t="shared" si="0"/>
        <v>111.4478472441502</v>
      </c>
      <c r="V17">
        <f t="shared" si="1"/>
        <v>97.537556140622584</v>
      </c>
      <c r="W17">
        <f t="shared" si="2"/>
        <v>87.518564559570038</v>
      </c>
    </row>
    <row r="18" spans="1:33" x14ac:dyDescent="0.25">
      <c r="A18">
        <v>2011</v>
      </c>
      <c r="B18" t="s">
        <v>15</v>
      </c>
      <c r="C18">
        <v>111129</v>
      </c>
      <c r="D18">
        <v>528630.80168776296</v>
      </c>
      <c r="E18">
        <v>0.94799999999999995</v>
      </c>
      <c r="F18">
        <v>0.95699999999999996</v>
      </c>
      <c r="G18">
        <v>0.94499999999999995</v>
      </c>
      <c r="H18">
        <v>0.59354443934526502</v>
      </c>
      <c r="I18">
        <v>0</v>
      </c>
      <c r="J18">
        <v>4.5936931473620303E-2</v>
      </c>
      <c r="K18">
        <v>0.9205909511</v>
      </c>
      <c r="L18">
        <v>108.3</v>
      </c>
      <c r="M18">
        <v>65960</v>
      </c>
      <c r="N18">
        <v>7143468</v>
      </c>
      <c r="O18">
        <v>62930</v>
      </c>
      <c r="P18">
        <v>6815319</v>
      </c>
      <c r="Q18">
        <v>0.119043384908868</v>
      </c>
      <c r="R18">
        <v>12.892398585630399</v>
      </c>
      <c r="S18">
        <v>62930</v>
      </c>
      <c r="T18">
        <v>3030</v>
      </c>
      <c r="U18">
        <f t="shared" si="0"/>
        <v>111.21449606373157</v>
      </c>
      <c r="V18">
        <f t="shared" si="1"/>
        <v>97.460120799132724</v>
      </c>
      <c r="W18">
        <f t="shared" si="2"/>
        <v>87.63256971760508</v>
      </c>
    </row>
    <row r="19" spans="1:33" x14ac:dyDescent="0.25">
      <c r="A19">
        <v>2012</v>
      </c>
      <c r="B19" t="s">
        <v>15</v>
      </c>
      <c r="C19">
        <v>111046</v>
      </c>
      <c r="D19">
        <v>537063.86822529195</v>
      </c>
      <c r="E19">
        <v>0.94099999999999995</v>
      </c>
      <c r="F19">
        <v>0.95099999999999996</v>
      </c>
      <c r="G19">
        <v>0.94499999999999995</v>
      </c>
      <c r="H19">
        <v>0.59119644111449299</v>
      </c>
      <c r="I19">
        <v>0</v>
      </c>
      <c r="J19">
        <v>4.3412033511043398E-2</v>
      </c>
      <c r="K19">
        <v>0.90725436179999996</v>
      </c>
      <c r="L19">
        <v>108.9</v>
      </c>
      <c r="M19">
        <v>65650</v>
      </c>
      <c r="N19">
        <v>7149285</v>
      </c>
      <c r="O19">
        <v>62800</v>
      </c>
      <c r="P19">
        <v>6838920</v>
      </c>
      <c r="Q19">
        <v>0.116932088929237</v>
      </c>
      <c r="R19">
        <v>12.7339044843939</v>
      </c>
      <c r="S19">
        <v>62800</v>
      </c>
      <c r="T19">
        <v>2850</v>
      </c>
      <c r="U19">
        <f t="shared" si="0"/>
        <v>112.98866291562295</v>
      </c>
      <c r="V19">
        <f t="shared" si="1"/>
        <v>97.258788911259103</v>
      </c>
      <c r="W19">
        <f t="shared" si="2"/>
        <v>86.07836078553251</v>
      </c>
    </row>
    <row r="20" spans="1:33" x14ac:dyDescent="0.25">
      <c r="A20">
        <v>2013</v>
      </c>
      <c r="B20" t="s">
        <v>15</v>
      </c>
      <c r="C20">
        <v>111024</v>
      </c>
      <c r="D20">
        <v>547980.08519701799</v>
      </c>
      <c r="E20">
        <v>0.93899999999999995</v>
      </c>
      <c r="F20">
        <v>0.95</v>
      </c>
      <c r="G20">
        <v>0.94899999999999995</v>
      </c>
      <c r="H20">
        <v>0.59383556708459395</v>
      </c>
      <c r="I20">
        <v>0</v>
      </c>
      <c r="J20">
        <v>4.0497497345669597E-2</v>
      </c>
      <c r="K20">
        <v>0.91457753019999999</v>
      </c>
      <c r="L20">
        <v>107.7</v>
      </c>
      <c r="M20">
        <v>65930</v>
      </c>
      <c r="N20">
        <v>7100661</v>
      </c>
      <c r="O20">
        <v>63260</v>
      </c>
      <c r="P20">
        <v>6813102</v>
      </c>
      <c r="Q20">
        <v>0.115442151473909</v>
      </c>
      <c r="R20">
        <v>12.43311971374</v>
      </c>
      <c r="S20">
        <v>63260</v>
      </c>
      <c r="T20">
        <v>2670</v>
      </c>
      <c r="U20">
        <f t="shared" si="0"/>
        <v>115.28524034841119</v>
      </c>
      <c r="V20">
        <f t="shared" si="1"/>
        <v>97.971194052965771</v>
      </c>
      <c r="W20">
        <f t="shared" si="2"/>
        <v>84.981558573222827</v>
      </c>
    </row>
    <row r="21" spans="1:33" x14ac:dyDescent="0.25">
      <c r="A21">
        <v>2014</v>
      </c>
      <c r="B21" t="s">
        <v>15</v>
      </c>
      <c r="C21">
        <v>111004</v>
      </c>
      <c r="D21">
        <v>553105.340314136</v>
      </c>
      <c r="E21">
        <v>0.95499999999999996</v>
      </c>
      <c r="F21">
        <v>0.96899999999999997</v>
      </c>
      <c r="G21">
        <v>0.97499999999999998</v>
      </c>
      <c r="H21">
        <v>0.595383950127923</v>
      </c>
      <c r="I21">
        <v>0</v>
      </c>
      <c r="J21">
        <v>3.6011499470419102E-2</v>
      </c>
      <c r="K21">
        <v>0.92264678469999994</v>
      </c>
      <c r="L21">
        <v>107.3</v>
      </c>
      <c r="M21">
        <v>66090</v>
      </c>
      <c r="N21">
        <v>7091457</v>
      </c>
      <c r="O21">
        <v>63710</v>
      </c>
      <c r="P21">
        <v>6836083</v>
      </c>
      <c r="Q21">
        <v>0.115186014952985</v>
      </c>
      <c r="R21">
        <v>12.359459404455301</v>
      </c>
      <c r="S21">
        <v>63710</v>
      </c>
      <c r="T21">
        <v>2380</v>
      </c>
      <c r="U21">
        <f t="shared" si="0"/>
        <v>116.36350265024547</v>
      </c>
      <c r="V21">
        <f t="shared" si="1"/>
        <v>98.668112126374467</v>
      </c>
      <c r="W21">
        <f t="shared" si="2"/>
        <v>84.793006294200211</v>
      </c>
    </row>
    <row r="22" spans="1:33" x14ac:dyDescent="0.25">
      <c r="A22">
        <v>2015</v>
      </c>
      <c r="B22" t="s">
        <v>15</v>
      </c>
      <c r="C22">
        <v>111208</v>
      </c>
      <c r="D22">
        <v>562940.20512820501</v>
      </c>
      <c r="E22">
        <v>0.97499999999999998</v>
      </c>
      <c r="F22">
        <v>0.97399999999999998</v>
      </c>
      <c r="G22">
        <v>0.98199999999999998</v>
      </c>
      <c r="H22">
        <v>0.59573052298395801</v>
      </c>
      <c r="I22">
        <v>0</v>
      </c>
      <c r="J22">
        <v>3.3660377358490499E-2</v>
      </c>
      <c r="K22">
        <v>0.92703461180000002</v>
      </c>
      <c r="L22">
        <v>106.9</v>
      </c>
      <c r="M22">
        <v>66250</v>
      </c>
      <c r="N22">
        <v>7082125</v>
      </c>
      <c r="O22">
        <v>64020</v>
      </c>
      <c r="P22">
        <v>6843738</v>
      </c>
      <c r="Q22">
        <v>0.113724334159824</v>
      </c>
      <c r="R22">
        <v>12.157131321685201</v>
      </c>
      <c r="S22">
        <v>64020</v>
      </c>
      <c r="T22">
        <v>2230</v>
      </c>
      <c r="U22">
        <f t="shared" si="0"/>
        <v>118.43258286778007</v>
      </c>
      <c r="V22">
        <f t="shared" si="1"/>
        <v>99.148211243611584</v>
      </c>
      <c r="W22">
        <f t="shared" si="2"/>
        <v>83.717004934615119</v>
      </c>
    </row>
    <row r="23" spans="1:33" x14ac:dyDescent="0.25">
      <c r="A23">
        <v>2016</v>
      </c>
      <c r="B23" t="s">
        <v>15</v>
      </c>
      <c r="C23">
        <v>111233</v>
      </c>
      <c r="D23">
        <v>566738.63404688996</v>
      </c>
      <c r="E23">
        <v>0.98099999999999998</v>
      </c>
      <c r="F23">
        <v>0.97099999999999997</v>
      </c>
      <c r="G23">
        <v>0.98099999999999998</v>
      </c>
      <c r="H23">
        <v>0.60036140354031597</v>
      </c>
      <c r="I23">
        <v>0</v>
      </c>
      <c r="J23">
        <v>3.11470500149745E-2</v>
      </c>
      <c r="K23">
        <v>0.937911571</v>
      </c>
      <c r="L23">
        <v>106.3</v>
      </c>
      <c r="M23">
        <v>66780</v>
      </c>
      <c r="N23">
        <v>7098714</v>
      </c>
      <c r="O23">
        <v>64700</v>
      </c>
      <c r="P23">
        <v>6877610</v>
      </c>
      <c r="Q23">
        <v>0.114161971874052</v>
      </c>
      <c r="R23">
        <v>12.1354176102117</v>
      </c>
      <c r="S23">
        <v>64700</v>
      </c>
      <c r="T23">
        <v>2080</v>
      </c>
      <c r="U23">
        <f t="shared" si="0"/>
        <v>119.23170459257688</v>
      </c>
      <c r="V23">
        <f t="shared" si="1"/>
        <v>100.20133188787364</v>
      </c>
      <c r="W23">
        <f t="shared" si="2"/>
        <v>84.039167459920691</v>
      </c>
      <c r="Y23" t="s">
        <v>18</v>
      </c>
      <c r="AG23" t="s">
        <v>19</v>
      </c>
    </row>
    <row r="24" spans="1:33" x14ac:dyDescent="0.25">
      <c r="A24">
        <v>2017</v>
      </c>
      <c r="B24" t="s">
        <v>15</v>
      </c>
      <c r="C24">
        <v>111278</v>
      </c>
      <c r="D24">
        <v>576064.220183486</v>
      </c>
      <c r="E24">
        <v>0.98099999999999998</v>
      </c>
      <c r="F24">
        <v>0.97599999999999998</v>
      </c>
      <c r="G24">
        <v>0.98599999999999999</v>
      </c>
      <c r="H24">
        <v>0.60497133305774697</v>
      </c>
      <c r="I24">
        <v>0</v>
      </c>
      <c r="J24">
        <v>2.82234105763517E-2</v>
      </c>
      <c r="K24">
        <v>0.94439208289999999</v>
      </c>
      <c r="L24">
        <v>106.1</v>
      </c>
      <c r="M24">
        <v>67320</v>
      </c>
      <c r="N24">
        <v>7142652</v>
      </c>
      <c r="O24">
        <v>65420</v>
      </c>
      <c r="P24">
        <v>6941062</v>
      </c>
      <c r="Q24">
        <v>0.113563727285757</v>
      </c>
      <c r="R24">
        <v>12.0491114650188</v>
      </c>
      <c r="S24">
        <v>65420</v>
      </c>
      <c r="T24">
        <v>1900</v>
      </c>
      <c r="U24">
        <f t="shared" si="0"/>
        <v>121.19364165596625</v>
      </c>
      <c r="V24">
        <f t="shared" si="1"/>
        <v>101.31640080532756</v>
      </c>
      <c r="W24">
        <f t="shared" si="2"/>
        <v>83.598775827642484</v>
      </c>
    </row>
    <row r="25" spans="1:33" x14ac:dyDescent="0.25">
      <c r="A25">
        <v>2018</v>
      </c>
      <c r="B25" t="s">
        <v>15</v>
      </c>
      <c r="C25">
        <v>111276</v>
      </c>
      <c r="D25">
        <v>580768.87755102001</v>
      </c>
      <c r="E25">
        <v>0.98</v>
      </c>
      <c r="F25">
        <v>0.98299999999999998</v>
      </c>
      <c r="G25">
        <v>0.995</v>
      </c>
      <c r="H25">
        <v>0.615496603041087</v>
      </c>
      <c r="I25">
        <v>0</v>
      </c>
      <c r="J25">
        <v>2.43831216235946E-2</v>
      </c>
      <c r="K25">
        <v>0.9657794677</v>
      </c>
      <c r="L25">
        <v>105.2</v>
      </c>
      <c r="M25">
        <v>68490</v>
      </c>
      <c r="N25">
        <v>7205148</v>
      </c>
      <c r="O25">
        <v>66820</v>
      </c>
      <c r="P25">
        <v>7029464</v>
      </c>
      <c r="Q25">
        <v>0.11505437461071499</v>
      </c>
      <c r="R25">
        <v>12.1037202090472</v>
      </c>
      <c r="S25">
        <v>66820</v>
      </c>
      <c r="T25">
        <v>1670</v>
      </c>
      <c r="U25">
        <f t="shared" si="0"/>
        <v>122.18341768984907</v>
      </c>
      <c r="V25">
        <f t="shared" si="1"/>
        <v>103.48459036704352</v>
      </c>
      <c r="W25">
        <f t="shared" si="2"/>
        <v>84.69610060321709</v>
      </c>
    </row>
    <row r="26" spans="1:33" x14ac:dyDescent="0.25">
      <c r="A26">
        <v>2019</v>
      </c>
      <c r="B26" t="s">
        <v>15</v>
      </c>
      <c r="C26">
        <v>111296</v>
      </c>
      <c r="D26">
        <v>579369.80749746703</v>
      </c>
      <c r="E26">
        <v>0.98699999999999999</v>
      </c>
      <c r="F26">
        <v>0.99099999999999999</v>
      </c>
      <c r="G26">
        <v>1</v>
      </c>
      <c r="H26">
        <v>0.62104657849338696</v>
      </c>
      <c r="I26">
        <v>0</v>
      </c>
      <c r="J26">
        <v>2.34375E-2</v>
      </c>
      <c r="K26">
        <v>0.98347910589999998</v>
      </c>
      <c r="L26">
        <v>102.9</v>
      </c>
      <c r="M26">
        <v>69120</v>
      </c>
      <c r="N26">
        <v>7112448</v>
      </c>
      <c r="O26">
        <v>67500</v>
      </c>
      <c r="P26">
        <v>6945750</v>
      </c>
      <c r="Q26">
        <v>0.116505898523707</v>
      </c>
      <c r="R26">
        <v>11.9884569580895</v>
      </c>
      <c r="S26">
        <v>67500</v>
      </c>
      <c r="T26">
        <v>1620</v>
      </c>
      <c r="U26">
        <f t="shared" si="0"/>
        <v>121.88907829368263</v>
      </c>
      <c r="V26">
        <f t="shared" si="1"/>
        <v>104.53771101130556</v>
      </c>
      <c r="W26">
        <f t="shared" si="2"/>
        <v>85.76462507939371</v>
      </c>
    </row>
    <row r="27" spans="1:33" x14ac:dyDescent="0.25">
      <c r="A27">
        <v>2020</v>
      </c>
      <c r="B27" t="s">
        <v>15</v>
      </c>
      <c r="C27">
        <v>111114</v>
      </c>
      <c r="D27">
        <v>554074.4</v>
      </c>
      <c r="E27">
        <v>1</v>
      </c>
      <c r="F27">
        <v>1</v>
      </c>
      <c r="G27">
        <v>1</v>
      </c>
      <c r="H27">
        <v>0.62116384973990602</v>
      </c>
      <c r="I27">
        <v>0</v>
      </c>
      <c r="J27">
        <v>2.7818023761228598E-2</v>
      </c>
      <c r="K27">
        <v>1</v>
      </c>
      <c r="L27">
        <v>100</v>
      </c>
      <c r="M27">
        <v>69020</v>
      </c>
      <c r="N27">
        <v>6902000</v>
      </c>
      <c r="O27">
        <v>67100</v>
      </c>
      <c r="P27">
        <v>6710000</v>
      </c>
      <c r="Q27">
        <v>0.121102869939488</v>
      </c>
      <c r="R27">
        <v>12.110286993948799</v>
      </c>
      <c r="S27">
        <v>67100</v>
      </c>
      <c r="T27">
        <v>1920</v>
      </c>
      <c r="U27">
        <f t="shared" si="0"/>
        <v>116.56737553142256</v>
      </c>
      <c r="V27">
        <f t="shared" si="1"/>
        <v>103.91822827938671</v>
      </c>
      <c r="W27">
        <f t="shared" si="2"/>
        <v>89.148638549706334</v>
      </c>
    </row>
    <row r="28" spans="1:33" x14ac:dyDescent="0.25">
      <c r="A28">
        <v>2021</v>
      </c>
      <c r="B28" t="s">
        <v>15</v>
      </c>
      <c r="C28">
        <v>110735</v>
      </c>
      <c r="D28">
        <v>574142.94294294296</v>
      </c>
      <c r="E28">
        <v>0.999</v>
      </c>
      <c r="F28">
        <v>1.01</v>
      </c>
      <c r="G28">
        <v>0.998</v>
      </c>
      <c r="H28">
        <v>0.62374136451889595</v>
      </c>
      <c r="I28">
        <v>0</v>
      </c>
      <c r="J28">
        <v>2.8087447517011699E-2</v>
      </c>
      <c r="K28">
        <v>0.99602780540000002</v>
      </c>
      <c r="L28">
        <v>100.7</v>
      </c>
      <c r="M28">
        <v>69070</v>
      </c>
      <c r="N28">
        <v>6955349</v>
      </c>
      <c r="O28">
        <v>67130</v>
      </c>
      <c r="P28">
        <v>6759991</v>
      </c>
      <c r="Q28">
        <v>0.116922102457455</v>
      </c>
      <c r="R28">
        <v>11.774055717465799</v>
      </c>
      <c r="S28">
        <v>67130</v>
      </c>
      <c r="T28">
        <v>1940</v>
      </c>
      <c r="U28">
        <f t="shared" si="0"/>
        <v>120.78943917774608</v>
      </c>
      <c r="V28">
        <f t="shared" si="1"/>
        <v>103.96468948428061</v>
      </c>
      <c r="W28">
        <f t="shared" si="2"/>
        <v>86.071009346514785</v>
      </c>
    </row>
    <row r="29" spans="1:33" x14ac:dyDescent="0.25">
      <c r="A29">
        <v>2022</v>
      </c>
      <c r="B29" t="s">
        <v>15</v>
      </c>
      <c r="C29">
        <v>110463</v>
      </c>
      <c r="D29">
        <v>581412.12723658001</v>
      </c>
      <c r="E29">
        <v>1.006</v>
      </c>
      <c r="F29">
        <v>1.0429999999999999</v>
      </c>
      <c r="G29">
        <v>1.0229999999999999</v>
      </c>
      <c r="H29">
        <v>0.62482460190289901</v>
      </c>
      <c r="I29">
        <v>0</v>
      </c>
      <c r="J29">
        <v>2.5934511735728701E-2</v>
      </c>
      <c r="K29">
        <v>1.0148809519999999</v>
      </c>
      <c r="L29">
        <v>100.8</v>
      </c>
      <c r="M29">
        <v>69020</v>
      </c>
      <c r="N29">
        <v>6957216</v>
      </c>
      <c r="O29">
        <v>67230</v>
      </c>
      <c r="P29">
        <v>6776784</v>
      </c>
      <c r="Q29">
        <v>0.11563226298622301</v>
      </c>
      <c r="R29">
        <v>11.6557321090113</v>
      </c>
      <c r="S29">
        <v>67230</v>
      </c>
      <c r="T29">
        <v>1790</v>
      </c>
      <c r="U29">
        <f t="shared" si="0"/>
        <v>122.31874595561472</v>
      </c>
      <c r="V29">
        <f t="shared" si="1"/>
        <v>104.11956016726035</v>
      </c>
      <c r="W29">
        <f t="shared" si="2"/>
        <v>85.12150721774222</v>
      </c>
    </row>
    <row r="30" spans="1:33" x14ac:dyDescent="0.25">
      <c r="A30">
        <v>2023</v>
      </c>
      <c r="B30" t="s">
        <v>15</v>
      </c>
      <c r="C30">
        <v>110206</v>
      </c>
      <c r="D30">
        <v>586139.86679352995</v>
      </c>
      <c r="E30">
        <v>1.0509999999999999</v>
      </c>
      <c r="F30">
        <v>1.079</v>
      </c>
      <c r="G30">
        <v>1.056</v>
      </c>
      <c r="H30">
        <v>0.62836869135981699</v>
      </c>
      <c r="I30">
        <v>0</v>
      </c>
      <c r="J30">
        <v>2.5703971119133501E-2</v>
      </c>
      <c r="K30">
        <v>1.0257680870000001</v>
      </c>
      <c r="L30">
        <v>100.9</v>
      </c>
      <c r="M30">
        <v>69250</v>
      </c>
      <c r="N30">
        <v>6987325</v>
      </c>
      <c r="O30">
        <v>67470</v>
      </c>
      <c r="P30">
        <v>6807723</v>
      </c>
      <c r="Q30">
        <v>0.115109044483006</v>
      </c>
      <c r="R30">
        <v>11.6145025883353</v>
      </c>
      <c r="S30">
        <v>67470</v>
      </c>
      <c r="T30">
        <v>1780</v>
      </c>
      <c r="U30">
        <f t="shared" si="0"/>
        <v>123.31337807063348</v>
      </c>
      <c r="V30">
        <f t="shared" si="1"/>
        <v>104.49124980641164</v>
      </c>
      <c r="W30">
        <f t="shared" si="2"/>
        <v>84.73634527030751</v>
      </c>
    </row>
    <row r="31" spans="1:33" x14ac:dyDescent="0.25">
      <c r="A31">
        <v>2024</v>
      </c>
      <c r="B31" t="s">
        <v>15</v>
      </c>
      <c r="C31">
        <v>109929</v>
      </c>
      <c r="D31">
        <v>584540.09216589795</v>
      </c>
      <c r="E31">
        <v>1.085</v>
      </c>
      <c r="F31">
        <v>1.1059999999999901</v>
      </c>
      <c r="G31">
        <v>1.085</v>
      </c>
      <c r="H31">
        <v>0.63286302977376296</v>
      </c>
      <c r="I31">
        <v>0</v>
      </c>
      <c r="J31">
        <v>2.5298260744573801E-2</v>
      </c>
      <c r="K31">
        <v>1.065141004</v>
      </c>
      <c r="L31">
        <v>99.891000000000005</v>
      </c>
      <c r="M31">
        <v>69570</v>
      </c>
      <c r="N31">
        <v>6949416.8700000001</v>
      </c>
      <c r="O31">
        <v>67810</v>
      </c>
      <c r="P31">
        <v>6773608.71</v>
      </c>
      <c r="Q31">
        <v>0.11600572981870801</v>
      </c>
      <c r="R31">
        <v>11.5879283573205</v>
      </c>
      <c r="S31">
        <v>67810</v>
      </c>
      <c r="T31">
        <v>1760</v>
      </c>
      <c r="U31">
        <f t="shared" si="0"/>
        <v>122.97681401031085</v>
      </c>
      <c r="V31">
        <f t="shared" si="1"/>
        <v>105.01781012854268</v>
      </c>
      <c r="W31">
        <f t="shared" si="2"/>
        <v>85.396431005065381</v>
      </c>
    </row>
    <row r="32" spans="1:33" x14ac:dyDescent="0.25">
      <c r="A32">
        <v>2025</v>
      </c>
      <c r="B32" t="s">
        <v>15</v>
      </c>
      <c r="C32">
        <v>109629</v>
      </c>
      <c r="D32">
        <v>591584.04634581099</v>
      </c>
      <c r="E32">
        <v>1.1220000000000001</v>
      </c>
      <c r="F32">
        <v>1.139</v>
      </c>
      <c r="G32">
        <v>1.119</v>
      </c>
      <c r="H32">
        <v>0.63888204763338097</v>
      </c>
      <c r="I32">
        <v>0</v>
      </c>
      <c r="J32">
        <v>2.51284980011422E-2</v>
      </c>
      <c r="K32">
        <v>1.1051107979999999</v>
      </c>
      <c r="L32">
        <v>98.492525999999998</v>
      </c>
      <c r="M32">
        <v>70040</v>
      </c>
      <c r="N32">
        <v>6898416.52104</v>
      </c>
      <c r="O32">
        <v>68280</v>
      </c>
      <c r="P32">
        <v>6725069.6752800001</v>
      </c>
      <c r="Q32">
        <v>0.11541893399891701</v>
      </c>
      <c r="R32">
        <v>11.3679023577807</v>
      </c>
      <c r="S32">
        <v>68280</v>
      </c>
      <c r="T32">
        <v>1760</v>
      </c>
      <c r="U32">
        <f t="shared" si="0"/>
        <v>124.45873638773175</v>
      </c>
      <c r="V32">
        <f t="shared" si="1"/>
        <v>105.74570233854732</v>
      </c>
      <c r="W32">
        <f t="shared" si="2"/>
        <v>84.964467266575085</v>
      </c>
    </row>
    <row r="33" spans="1:33" x14ac:dyDescent="0.25">
      <c r="A33">
        <v>2026</v>
      </c>
      <c r="B33" t="s">
        <v>16</v>
      </c>
      <c r="C33">
        <v>109306</v>
      </c>
      <c r="D33">
        <v>599703.82737408602</v>
      </c>
      <c r="E33">
        <v>1.1444399999999999</v>
      </c>
      <c r="F33">
        <v>1.16178</v>
      </c>
      <c r="G33">
        <v>1.140261</v>
      </c>
      <c r="H33">
        <v>0.65504006149607996</v>
      </c>
      <c r="I33">
        <v>4.6452785208657102E-2</v>
      </c>
      <c r="J33">
        <v>7.8665162741282397E-3</v>
      </c>
      <c r="K33">
        <v>1.1440817534510399</v>
      </c>
      <c r="L33">
        <v>92.5419540954491</v>
      </c>
      <c r="M33">
        <v>71599.808961890507</v>
      </c>
      <c r="N33">
        <v>6625986.2341941902</v>
      </c>
      <c r="O33">
        <v>73629.847564697906</v>
      </c>
      <c r="P33">
        <v>6813849.9733871901</v>
      </c>
      <c r="Q33">
        <v>0.122777017927498</v>
      </c>
      <c r="R33">
        <v>11.3620251570227</v>
      </c>
      <c r="S33">
        <v>71036.567899467307</v>
      </c>
      <c r="T33">
        <v>563.24106242318396</v>
      </c>
      <c r="U33">
        <f t="shared" si="0"/>
        <v>126.1669935538377</v>
      </c>
      <c r="V33">
        <f t="shared" si="1"/>
        <v>110.01481787125182</v>
      </c>
      <c r="W33">
        <f t="shared" si="2"/>
        <v>87.197780316693169</v>
      </c>
    </row>
    <row r="34" spans="1:33" x14ac:dyDescent="0.25">
      <c r="A34">
        <v>2027</v>
      </c>
      <c r="B34" t="s">
        <v>16</v>
      </c>
      <c r="C34">
        <v>108944</v>
      </c>
      <c r="D34">
        <v>602669.72169855295</v>
      </c>
      <c r="E34">
        <v>1.1570288399999999</v>
      </c>
      <c r="F34">
        <v>1.1745595799999999</v>
      </c>
      <c r="G34">
        <v>1.1562246539999901</v>
      </c>
      <c r="H34">
        <v>0.679709723857712</v>
      </c>
      <c r="I34">
        <v>4.1807506687791401E-2</v>
      </c>
      <c r="J34">
        <v>5.0902625590218201E-3</v>
      </c>
      <c r="K34">
        <v>1.1842283705605401</v>
      </c>
      <c r="L34">
        <v>88.978807218882494</v>
      </c>
      <c r="M34">
        <v>74050.296155954595</v>
      </c>
      <c r="N34">
        <v>6588907.0261618504</v>
      </c>
      <c r="O34">
        <v>76766.179229139394</v>
      </c>
      <c r="P34">
        <v>6830563.0625597797</v>
      </c>
      <c r="Q34">
        <v>0.127376864085328</v>
      </c>
      <c r="R34">
        <v>11.3338414335942</v>
      </c>
      <c r="S34">
        <v>73673.360705947503</v>
      </c>
      <c r="T34">
        <v>376.935450007133</v>
      </c>
      <c r="U34">
        <f t="shared" si="0"/>
        <v>126.79096484272354</v>
      </c>
      <c r="V34">
        <f t="shared" si="1"/>
        <v>114.09843689940762</v>
      </c>
      <c r="W34">
        <f t="shared" si="2"/>
        <v>89.989406611851066</v>
      </c>
    </row>
    <row r="35" spans="1:33" x14ac:dyDescent="0.25">
      <c r="A35">
        <v>2028</v>
      </c>
      <c r="B35" t="s">
        <v>16</v>
      </c>
      <c r="C35">
        <v>108564</v>
      </c>
      <c r="D35">
        <v>605662.12344239501</v>
      </c>
      <c r="E35">
        <v>1.1651280420000001</v>
      </c>
      <c r="F35">
        <v>1.1827814969999999</v>
      </c>
      <c r="G35">
        <v>1.168943125</v>
      </c>
      <c r="H35">
        <v>0.69918509815293095</v>
      </c>
      <c r="I35">
        <v>3.7162228166925701E-2</v>
      </c>
      <c r="J35">
        <v>5.7865793466481503E-3</v>
      </c>
      <c r="K35">
        <v>1.2234654913804499</v>
      </c>
      <c r="L35">
        <v>86.950272169451594</v>
      </c>
      <c r="M35">
        <v>75906.3309958748</v>
      </c>
      <c r="N35">
        <v>6600076.1394758001</v>
      </c>
      <c r="O35">
        <v>77935.886644214101</v>
      </c>
      <c r="P35">
        <v>6776546.5554819396</v>
      </c>
      <c r="Q35">
        <v>0.12867881881279</v>
      </c>
      <c r="R35">
        <v>11.188658318215699</v>
      </c>
      <c r="S35">
        <v>75467.0929886542</v>
      </c>
      <c r="T35">
        <v>439.23800722056802</v>
      </c>
      <c r="U35">
        <f t="shared" si="0"/>
        <v>127.42051282006256</v>
      </c>
      <c r="V35">
        <f t="shared" si="1"/>
        <v>116.87640233646306</v>
      </c>
      <c r="W35">
        <f t="shared" si="2"/>
        <v>91.724950519945395</v>
      </c>
    </row>
    <row r="36" spans="1:33" x14ac:dyDescent="0.25">
      <c r="A36">
        <v>2029</v>
      </c>
      <c r="B36" t="s">
        <v>16</v>
      </c>
      <c r="C36">
        <v>108146</v>
      </c>
      <c r="D36">
        <v>608669.38331853296</v>
      </c>
      <c r="E36">
        <v>1.173283938</v>
      </c>
      <c r="F36">
        <v>1.1910609679999999</v>
      </c>
      <c r="G36">
        <v>1.1818014999999999</v>
      </c>
      <c r="H36">
        <v>0.71445816826568798</v>
      </c>
      <c r="I36">
        <v>3.251694964606E-2</v>
      </c>
      <c r="J36">
        <v>9.7151107628826398E-3</v>
      </c>
      <c r="K36">
        <v>1.26025140924879</v>
      </c>
      <c r="L36">
        <v>85.981280989656696</v>
      </c>
      <c r="M36">
        <v>77265.793065261096</v>
      </c>
      <c r="N36">
        <v>6643411.8644328797</v>
      </c>
      <c r="O36">
        <v>77624.521647657399</v>
      </c>
      <c r="P36">
        <v>6674255.8074749196</v>
      </c>
      <c r="Q36">
        <v>0.12753150359632001</v>
      </c>
      <c r="R36">
        <v>10.9653220457486</v>
      </c>
      <c r="S36">
        <v>76515.147327450104</v>
      </c>
      <c r="T36">
        <v>750.64573781098102</v>
      </c>
      <c r="U36">
        <f t="shared" si="0"/>
        <v>128.0531866835407</v>
      </c>
      <c r="V36">
        <f t="shared" si="1"/>
        <v>118.49953124895478</v>
      </c>
      <c r="W36">
        <f t="shared" si="2"/>
        <v>92.539306766183032</v>
      </c>
    </row>
    <row r="37" spans="1:33" x14ac:dyDescent="0.25">
      <c r="A37">
        <v>2030</v>
      </c>
      <c r="B37" t="s">
        <v>16</v>
      </c>
      <c r="C37">
        <v>107719</v>
      </c>
      <c r="D37">
        <v>611691.57472695701</v>
      </c>
      <c r="E37">
        <v>1.1814969259999999</v>
      </c>
      <c r="F37">
        <v>1.1993983939999999</v>
      </c>
      <c r="G37">
        <v>1.1948013159999999</v>
      </c>
      <c r="H37">
        <v>0.723289583142251</v>
      </c>
      <c r="I37">
        <v>2.7871671125194199E-2</v>
      </c>
      <c r="J37">
        <v>1.7484126022216901E-2</v>
      </c>
      <c r="K37">
        <v>1.2905356238150401</v>
      </c>
      <c r="L37">
        <v>85.561245735490601</v>
      </c>
      <c r="M37">
        <v>77912.030606500193</v>
      </c>
      <c r="N37">
        <v>6666250.3964738296</v>
      </c>
      <c r="O37">
        <v>76589.128430508397</v>
      </c>
      <c r="P37">
        <v>6553061.2383097801</v>
      </c>
      <c r="Q37">
        <v>0.12520873524324</v>
      </c>
      <c r="R37">
        <v>10.713015364376799</v>
      </c>
      <c r="S37">
        <v>76549.806844729304</v>
      </c>
      <c r="T37">
        <v>1362.2237617708699</v>
      </c>
      <c r="U37">
        <f t="shared" si="0"/>
        <v>128.6890018752074</v>
      </c>
      <c r="V37">
        <f t="shared" si="1"/>
        <v>118.55320868008255</v>
      </c>
      <c r="W37">
        <f t="shared" si="2"/>
        <v>92.123807747802914</v>
      </c>
    </row>
    <row r="38" spans="1:33" x14ac:dyDescent="0.25">
      <c r="A38">
        <v>2031</v>
      </c>
      <c r="B38" t="s">
        <v>16</v>
      </c>
      <c r="C38">
        <v>107255</v>
      </c>
      <c r="D38">
        <v>614728.77248198597</v>
      </c>
      <c r="E38">
        <v>1.1897674039999999</v>
      </c>
      <c r="F38">
        <v>1.2077941830000001</v>
      </c>
      <c r="G38">
        <v>1.2079441310000001</v>
      </c>
      <c r="H38">
        <v>0.72494380863208097</v>
      </c>
      <c r="I38">
        <v>2.3226392604328499E-2</v>
      </c>
      <c r="J38">
        <v>2.63961117497701E-2</v>
      </c>
      <c r="K38">
        <v>1.3126670863688199</v>
      </c>
      <c r="L38">
        <v>85.3792650584912</v>
      </c>
      <c r="M38">
        <v>77753.848194833903</v>
      </c>
      <c r="N38">
        <v>6638566.4143444104</v>
      </c>
      <c r="O38">
        <v>75412.8411145133</v>
      </c>
      <c r="P38">
        <v>6438692.9503299203</v>
      </c>
      <c r="Q38">
        <v>0.12267660875873999</v>
      </c>
      <c r="R38">
        <v>10.4740386956893</v>
      </c>
      <c r="S38">
        <v>75701.448928908401</v>
      </c>
      <c r="T38">
        <v>2052.39926592549</v>
      </c>
      <c r="U38">
        <f t="shared" si="0"/>
        <v>129.32797413466147</v>
      </c>
      <c r="V38">
        <f t="shared" si="1"/>
        <v>117.23935098173828</v>
      </c>
      <c r="W38">
        <f t="shared" si="2"/>
        <v>90.652739104738444</v>
      </c>
    </row>
    <row r="39" spans="1:33" x14ac:dyDescent="0.25">
      <c r="A39">
        <v>2032</v>
      </c>
      <c r="B39" t="s">
        <v>16</v>
      </c>
      <c r="C39">
        <v>106740</v>
      </c>
      <c r="D39">
        <v>617781.05025219603</v>
      </c>
      <c r="E39">
        <v>1.1980957759999999</v>
      </c>
      <c r="F39">
        <v>1.2162487419999899</v>
      </c>
      <c r="G39">
        <v>1.221231516</v>
      </c>
      <c r="H39">
        <v>0.72236327920195598</v>
      </c>
      <c r="I39">
        <v>1.8581114083462798E-2</v>
      </c>
      <c r="J39">
        <v>3.18175737866737E-2</v>
      </c>
      <c r="K39">
        <v>1.3297128546113199</v>
      </c>
      <c r="L39">
        <v>85.289684526502796</v>
      </c>
      <c r="M39">
        <v>77105.056422016802</v>
      </c>
      <c r="N39">
        <v>6576265.9376320103</v>
      </c>
      <c r="O39">
        <v>74430.598241660904</v>
      </c>
      <c r="P39">
        <v>6348162.2431501402</v>
      </c>
      <c r="Q39">
        <v>0.120480545998094</v>
      </c>
      <c r="R39">
        <v>10.2757477597583</v>
      </c>
      <c r="S39">
        <v>74651.760599983594</v>
      </c>
      <c r="T39">
        <v>2453.2958220331502</v>
      </c>
      <c r="U39">
        <f t="shared" si="0"/>
        <v>129.97011896045797</v>
      </c>
      <c r="V39">
        <f t="shared" si="1"/>
        <v>115.6136914975741</v>
      </c>
      <c r="W39">
        <f t="shared" si="2"/>
        <v>88.954055303087273</v>
      </c>
    </row>
    <row r="40" spans="1:33" x14ac:dyDescent="0.25">
      <c r="A40">
        <v>2033</v>
      </c>
      <c r="B40" t="s">
        <v>16</v>
      </c>
      <c r="C40">
        <v>106192</v>
      </c>
      <c r="D40">
        <v>620848.483691904</v>
      </c>
      <c r="E40">
        <v>1.2064824459999901</v>
      </c>
      <c r="F40">
        <v>1.224762484</v>
      </c>
      <c r="G40">
        <v>1.234665063</v>
      </c>
      <c r="H40">
        <v>0.71987519351663598</v>
      </c>
      <c r="I40">
        <v>1.39358355625971E-2</v>
      </c>
      <c r="J40">
        <v>3.3771863076131899E-2</v>
      </c>
      <c r="K40">
        <v>1.34498988625422</v>
      </c>
      <c r="L40">
        <v>85.232011914010897</v>
      </c>
      <c r="M40">
        <v>76444.986549918598</v>
      </c>
      <c r="N40">
        <v>6515560.0043890597</v>
      </c>
      <c r="O40">
        <v>73723.257438978893</v>
      </c>
      <c r="P40">
        <v>6283581.5563787399</v>
      </c>
      <c r="Q40">
        <v>0.118745973253538</v>
      </c>
      <c r="R40">
        <v>10.120958207086399</v>
      </c>
      <c r="S40">
        <v>73863.296931297999</v>
      </c>
      <c r="T40">
        <v>2581.6896186206</v>
      </c>
      <c r="U40">
        <f t="shared" si="0"/>
        <v>130.6154522689163</v>
      </c>
      <c r="V40">
        <f t="shared" si="1"/>
        <v>114.39259242883382</v>
      </c>
      <c r="W40">
        <f t="shared" si="2"/>
        <v>87.579677933754567</v>
      </c>
    </row>
    <row r="41" spans="1:33" x14ac:dyDescent="0.25">
      <c r="A41">
        <v>2034</v>
      </c>
      <c r="B41" t="s">
        <v>16</v>
      </c>
      <c r="C41">
        <v>105591</v>
      </c>
      <c r="D41">
        <v>623314.61428444495</v>
      </c>
      <c r="E41">
        <v>1.2149278239999901</v>
      </c>
      <c r="F41">
        <v>1.2333358210000001</v>
      </c>
      <c r="G41">
        <v>1.2482463779999999</v>
      </c>
      <c r="H41">
        <v>0.718718541358213</v>
      </c>
      <c r="I41">
        <v>9.29055704173142E-3</v>
      </c>
      <c r="J41">
        <v>3.3906014053778001E-2</v>
      </c>
      <c r="K41">
        <v>1.3603043661377301</v>
      </c>
      <c r="L41">
        <v>85.188465253239102</v>
      </c>
      <c r="M41">
        <v>75890.209500555095</v>
      </c>
      <c r="N41">
        <v>6464970.47509907</v>
      </c>
      <c r="O41">
        <v>73218.942179816906</v>
      </c>
      <c r="P41">
        <v>6237409.3117642496</v>
      </c>
      <c r="Q41">
        <v>0.11746707120588</v>
      </c>
      <c r="R41">
        <v>10.0068395138219</v>
      </c>
      <c r="S41">
        <v>73317.074990685098</v>
      </c>
      <c r="T41">
        <v>2573.1345098699799</v>
      </c>
      <c r="U41">
        <f t="shared" si="0"/>
        <v>131.13428217856426</v>
      </c>
      <c r="V41">
        <f t="shared" si="1"/>
        <v>113.54665477882158</v>
      </c>
      <c r="W41">
        <f t="shared" si="2"/>
        <v>86.58807818401462</v>
      </c>
    </row>
    <row r="42" spans="1:33" x14ac:dyDescent="0.25">
      <c r="A42">
        <v>2035</v>
      </c>
      <c r="B42" t="s">
        <v>16</v>
      </c>
      <c r="C42">
        <v>104948</v>
      </c>
      <c r="D42">
        <v>625790.54160640505</v>
      </c>
      <c r="E42">
        <v>1.223432318</v>
      </c>
      <c r="F42">
        <v>1.2419691719999999</v>
      </c>
      <c r="G42">
        <v>1.2619770889999999</v>
      </c>
      <c r="H42">
        <v>0.718582120552826</v>
      </c>
      <c r="I42">
        <v>4.64527852086571E-3</v>
      </c>
      <c r="J42">
        <v>3.3130423189720003E-2</v>
      </c>
      <c r="K42">
        <v>1.3766007478260101</v>
      </c>
      <c r="L42">
        <v>85.151029007410401</v>
      </c>
      <c r="M42">
        <v>75413.756387778005</v>
      </c>
      <c r="N42">
        <v>6421558.95773347</v>
      </c>
      <c r="O42">
        <v>72842.877826329801</v>
      </c>
      <c r="P42">
        <v>6202646.0027730605</v>
      </c>
      <c r="Q42">
        <v>0.116401372317552</v>
      </c>
      <c r="R42">
        <v>9.9116966307142693</v>
      </c>
      <c r="S42">
        <v>72915.266724324494</v>
      </c>
      <c r="T42">
        <v>2498.4896634535398</v>
      </c>
      <c r="U42">
        <f t="shared" si="0"/>
        <v>131.65517314542257</v>
      </c>
      <c r="V42">
        <f t="shared" si="1"/>
        <v>112.92437157243998</v>
      </c>
      <c r="W42">
        <f t="shared" si="2"/>
        <v>85.772832828761636</v>
      </c>
    </row>
    <row r="43" spans="1:33" x14ac:dyDescent="0.25">
      <c r="A43">
        <v>2036</v>
      </c>
      <c r="B43" t="s">
        <v>16</v>
      </c>
      <c r="C43">
        <v>104297</v>
      </c>
      <c r="D43">
        <v>628176.28448402497</v>
      </c>
      <c r="E43">
        <v>1.231996345</v>
      </c>
      <c r="F43">
        <v>1.250662956</v>
      </c>
      <c r="G43">
        <v>1.2758588360000001</v>
      </c>
      <c r="H43">
        <v>0.71919947173883103</v>
      </c>
      <c r="I43">
        <v>0</v>
      </c>
      <c r="J43">
        <v>3.2324779120007703E-2</v>
      </c>
      <c r="K43">
        <v>1.39394173150578</v>
      </c>
      <c r="L43">
        <v>85.119492339868799</v>
      </c>
      <c r="M43">
        <v>75010.347303944902</v>
      </c>
      <c r="N43">
        <v>6384842.6827490404</v>
      </c>
      <c r="O43">
        <v>72521.374337719302</v>
      </c>
      <c r="P43">
        <v>6172982.56741626</v>
      </c>
      <c r="Q43">
        <v>0.11544748843437599</v>
      </c>
      <c r="R43">
        <v>9.8268316074470299</v>
      </c>
      <c r="S43">
        <v>72585.654395629797</v>
      </c>
      <c r="T43">
        <v>2424.6929083150899</v>
      </c>
      <c r="U43">
        <f t="shared" si="0"/>
        <v>132.15709091303094</v>
      </c>
      <c r="V43">
        <f t="shared" si="1"/>
        <v>112.41389870780516</v>
      </c>
      <c r="W43">
        <f t="shared" si="2"/>
        <v>85.060815073314345</v>
      </c>
      <c r="Y43" t="s">
        <v>17</v>
      </c>
    </row>
    <row r="44" spans="1:33" x14ac:dyDescent="0.25">
      <c r="A44">
        <v>2037</v>
      </c>
      <c r="B44" t="s">
        <v>16</v>
      </c>
      <c r="C44">
        <v>103601</v>
      </c>
      <c r="D44">
        <v>630474.44937100005</v>
      </c>
      <c r="E44">
        <v>1.240620319</v>
      </c>
      <c r="F44">
        <v>1.2594175970000001</v>
      </c>
      <c r="G44">
        <v>1.2898932839999999</v>
      </c>
      <c r="H44">
        <v>0.72097956152764797</v>
      </c>
      <c r="I44">
        <v>0</v>
      </c>
      <c r="J44">
        <v>3.2210332863553202E-2</v>
      </c>
      <c r="K44">
        <v>1.41162338041476</v>
      </c>
      <c r="L44">
        <v>85.093301238008493</v>
      </c>
      <c r="M44">
        <v>74694.203553825893</v>
      </c>
      <c r="N44">
        <v>6355976.3637388302</v>
      </c>
      <c r="O44">
        <v>72209.8143866194</v>
      </c>
      <c r="P44">
        <v>6144571.48794128</v>
      </c>
      <c r="Q44">
        <v>0.114532499229208</v>
      </c>
      <c r="R44">
        <v>9.7459484584529701</v>
      </c>
      <c r="S44">
        <v>72288.278394379202</v>
      </c>
      <c r="T44">
        <v>2405.92515944673</v>
      </c>
      <c r="U44">
        <f t="shared" si="0"/>
        <v>132.64058383277808</v>
      </c>
      <c r="V44">
        <f t="shared" si="1"/>
        <v>111.95335046365062</v>
      </c>
      <c r="W44">
        <f t="shared" si="2"/>
        <v>84.403541682832042</v>
      </c>
    </row>
    <row r="45" spans="1:33" x14ac:dyDescent="0.25">
      <c r="A45">
        <v>2038</v>
      </c>
      <c r="B45" t="s">
        <v>16</v>
      </c>
      <c r="C45">
        <v>102871</v>
      </c>
      <c r="D45">
        <v>632693.33820247301</v>
      </c>
      <c r="E45">
        <v>1.249304661</v>
      </c>
      <c r="F45">
        <v>1.2682335199999999</v>
      </c>
      <c r="G45">
        <v>1.30408211</v>
      </c>
      <c r="H45">
        <v>0.72269422102260195</v>
      </c>
      <c r="I45">
        <v>0</v>
      </c>
      <c r="J45">
        <v>3.1934364432237697E-2</v>
      </c>
      <c r="K45">
        <v>1.4298278117635499</v>
      </c>
      <c r="L45">
        <v>85.072031232417899</v>
      </c>
      <c r="M45">
        <v>74344.277210815999</v>
      </c>
      <c r="N45">
        <v>6324618.6728300797</v>
      </c>
      <c r="O45">
        <v>71898.452919464995</v>
      </c>
      <c r="P45">
        <v>6116547.4323272603</v>
      </c>
      <c r="Q45">
        <v>0.11363870706104399</v>
      </c>
      <c r="R45">
        <v>9.6674756363087404</v>
      </c>
      <c r="S45">
        <v>71970.139968914504</v>
      </c>
      <c r="T45">
        <v>2374.1372419015001</v>
      </c>
      <c r="U45">
        <f t="shared" si="0"/>
        <v>133.10739848380834</v>
      </c>
      <c r="V45">
        <f t="shared" si="1"/>
        <v>111.46064731131253</v>
      </c>
      <c r="W45">
        <f t="shared" si="2"/>
        <v>83.737379425134662</v>
      </c>
    </row>
    <row r="46" spans="1:33" x14ac:dyDescent="0.25">
      <c r="A46">
        <v>2039</v>
      </c>
      <c r="B46" t="s">
        <v>16</v>
      </c>
      <c r="C46">
        <v>102145</v>
      </c>
      <c r="D46">
        <v>634830.47492156702</v>
      </c>
      <c r="E46">
        <v>1.2580497939999999</v>
      </c>
      <c r="F46">
        <v>1.277111154</v>
      </c>
      <c r="G46">
        <v>1.318427013</v>
      </c>
      <c r="H46">
        <v>0.72453067273642102</v>
      </c>
      <c r="I46">
        <v>0</v>
      </c>
      <c r="J46">
        <v>3.1829269950718102E-2</v>
      </c>
      <c r="K46">
        <v>1.4483821657635101</v>
      </c>
      <c r="L46">
        <v>85.055506577126494</v>
      </c>
      <c r="M46">
        <v>74007.185566661705</v>
      </c>
      <c r="N46">
        <v>6294718.65871982</v>
      </c>
      <c r="O46">
        <v>71577.432067082394</v>
      </c>
      <c r="P46">
        <v>6088054.7439555498</v>
      </c>
      <c r="Q46">
        <v>0.11275046629720401</v>
      </c>
      <c r="R46">
        <v>9.5900480277159392</v>
      </c>
      <c r="S46">
        <v>71651.590878967603</v>
      </c>
      <c r="T46">
        <v>2355.5946876941698</v>
      </c>
      <c r="U46">
        <f t="shared" si="0"/>
        <v>133.55701394789875</v>
      </c>
      <c r="V46">
        <f t="shared" si="1"/>
        <v>110.96730816008611</v>
      </c>
      <c r="W46">
        <f t="shared" si="2"/>
        <v>83.086095503284469</v>
      </c>
    </row>
    <row r="47" spans="1:33" x14ac:dyDescent="0.25">
      <c r="A47">
        <v>2040</v>
      </c>
      <c r="B47" t="s">
        <v>16</v>
      </c>
      <c r="C47">
        <v>101418</v>
      </c>
      <c r="D47">
        <v>636888.980485362</v>
      </c>
      <c r="E47">
        <v>1.266856142</v>
      </c>
      <c r="F47">
        <v>1.286050932</v>
      </c>
      <c r="G47">
        <v>1.3329297099999999</v>
      </c>
      <c r="H47">
        <v>0.72632581038106603</v>
      </c>
      <c r="I47">
        <v>0</v>
      </c>
      <c r="J47">
        <v>3.1790681237199699E-2</v>
      </c>
      <c r="K47">
        <v>1.4672201272368099</v>
      </c>
      <c r="L47">
        <v>85.042778165112196</v>
      </c>
      <c r="M47">
        <v>73662.511037226999</v>
      </c>
      <c r="N47">
        <v>6264464.5852240203</v>
      </c>
      <c r="O47">
        <v>71245.804083346506</v>
      </c>
      <c r="P47">
        <v>6058941.1118550804</v>
      </c>
      <c r="Q47">
        <v>0.11186534273061401</v>
      </c>
      <c r="R47">
        <v>9.5133395262038594</v>
      </c>
      <c r="S47">
        <v>71320.729629710797</v>
      </c>
      <c r="T47">
        <v>2341.78140751619</v>
      </c>
      <c r="U47">
        <f t="shared" si="0"/>
        <v>133.99008681877748</v>
      </c>
      <c r="V47">
        <f t="shared" si="1"/>
        <v>110.45490108364689</v>
      </c>
      <c r="W47">
        <f t="shared" si="2"/>
        <v>82.435129124916457</v>
      </c>
    </row>
    <row r="48" spans="1:33" x14ac:dyDescent="0.25">
      <c r="Y48" t="s">
        <v>20</v>
      </c>
      <c r="AG48" t="s">
        <v>30</v>
      </c>
    </row>
    <row r="69" spans="25:25" x14ac:dyDescent="0.25">
      <c r="Y69" t="s">
        <v>31</v>
      </c>
    </row>
  </sheetData>
  <phoneticPr fontId="18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91D9-AA2F-41EB-A7CF-2C5247331F10}">
  <dimension ref="A1:G11"/>
  <sheetViews>
    <sheetView workbookViewId="0">
      <selection activeCell="B11" sqref="B11"/>
    </sheetView>
  </sheetViews>
  <sheetFormatPr defaultRowHeight="12.6" x14ac:dyDescent="0.25"/>
  <cols>
    <col min="2" max="3" width="8.88671875" style="2"/>
    <col min="4" max="4" width="8.88671875" style="1"/>
    <col min="5" max="5" width="9.6640625" style="3" bestFit="1" customWidth="1"/>
    <col min="6" max="7" width="8.88671875" style="3"/>
  </cols>
  <sheetData>
    <row r="1" spans="1:7" x14ac:dyDescent="0.25">
      <c r="A1" t="s">
        <v>0</v>
      </c>
      <c r="B1" s="2" t="s">
        <v>6</v>
      </c>
      <c r="C1" s="2" t="s">
        <v>8</v>
      </c>
      <c r="D1" s="1" t="s">
        <v>9</v>
      </c>
      <c r="E1" s="3" t="s">
        <v>10</v>
      </c>
      <c r="F1" s="3" t="s">
        <v>13</v>
      </c>
      <c r="G1" s="3" t="s">
        <v>21</v>
      </c>
    </row>
    <row r="2" spans="1:7" x14ac:dyDescent="0.25">
      <c r="A2">
        <v>1995</v>
      </c>
      <c r="B2" s="2">
        <f>VLOOKUP($A2,labour_force_simulation!$A$1:$O$47,7)*100</f>
        <v>95.899999999999991</v>
      </c>
      <c r="C2" s="2">
        <f>VLOOKUP($A2,labour_force_simulation!$A$1:$O$47,9)*100</f>
        <v>0</v>
      </c>
      <c r="D2" s="2">
        <f>VLOOKUP($A2,labour_force_simulation!$A$1:$O$47,10)*100</f>
        <v>3.1353135313531304</v>
      </c>
      <c r="E2" s="3">
        <f>VLOOKUP($A2,labour_force_simulation!$A$1:$O$47,11)*0.1</f>
        <v>9.3293718169999998E-2</v>
      </c>
      <c r="F2" s="3">
        <f>VLOOKUP($A2,labour_force_simulation!$A$1:$O$47,14)*0.1</f>
        <v>785254.8</v>
      </c>
      <c r="G2" s="3">
        <f>VLOOKUP($A2,labour_force_simulation!$A$1:$O$47,15)*0.1</f>
        <v>6457</v>
      </c>
    </row>
    <row r="3" spans="1:7" x14ac:dyDescent="0.25">
      <c r="A3">
        <v>2000</v>
      </c>
      <c r="B3" s="2">
        <f>VLOOKUP($A3,labour_force_simulation!$A$1:$O$47,7)*100</f>
        <v>97.3</v>
      </c>
      <c r="C3" s="2">
        <f>VLOOKUP($A3,labour_force_simulation!$A$1:$O$47,9)*100</f>
        <v>0</v>
      </c>
      <c r="D3" s="2">
        <f>VLOOKUP($A3,labour_force_simulation!$A$1:$O$47,10)*100</f>
        <v>4.7295300029559497</v>
      </c>
      <c r="E3" s="3">
        <f>VLOOKUP($A3,labour_force_simulation!$A$1:$O$47,11)*0.1</f>
        <v>9.5895196510000003E-2</v>
      </c>
      <c r="F3" s="3">
        <f>VLOOKUP($A3,labour_force_simulation!$A$1:$O$47,14)*0.1</f>
        <v>774707</v>
      </c>
      <c r="G3" s="3">
        <f>VLOOKUP($A3,labour_force_simulation!$A$1:$O$47,15)*0.1</f>
        <v>6446</v>
      </c>
    </row>
    <row r="4" spans="1:7" x14ac:dyDescent="0.25">
      <c r="A4">
        <v>2005</v>
      </c>
      <c r="B4" s="2">
        <f>VLOOKUP($A4,labour_force_simulation!$A$1:$O$47,7)*100</f>
        <v>95.199999999999989</v>
      </c>
      <c r="C4" s="2">
        <f>VLOOKUP($A4,labour_force_simulation!$A$1:$O$47,9)*100</f>
        <v>0</v>
      </c>
      <c r="D4" s="2">
        <f>VLOOKUP($A4,labour_force_simulation!$A$1:$O$47,10)*100</f>
        <v>4.43542324462486</v>
      </c>
      <c r="E4" s="3">
        <f>VLOOKUP($A4,labour_force_simulation!$A$1:$O$47,11)*0.1</f>
        <v>9.3375111910000003E-2</v>
      </c>
      <c r="F4" s="3">
        <f>VLOOKUP($A4,labour_force_simulation!$A$1:$O$47,14)*0.1</f>
        <v>742916.70000000007</v>
      </c>
      <c r="G4" s="3">
        <f>VLOOKUP($A4,labour_force_simulation!$A$1:$O$47,15)*0.1</f>
        <v>6356</v>
      </c>
    </row>
    <row r="5" spans="1:7" x14ac:dyDescent="0.25">
      <c r="A5">
        <v>2010</v>
      </c>
      <c r="B5" s="2">
        <f>VLOOKUP($A5,labour_force_simulation!$A$1:$O$47,7)*100</f>
        <v>94.8</v>
      </c>
      <c r="C5" s="2">
        <f>VLOOKUP($A5,labour_force_simulation!$A$1:$O$47,9)*100</f>
        <v>0</v>
      </c>
      <c r="D5" s="2">
        <f>VLOOKUP($A5,labour_force_simulation!$A$1:$O$47,10)*100</f>
        <v>5.0361881785283398</v>
      </c>
      <c r="E5" s="3">
        <f>VLOOKUP($A5,labour_force_simulation!$A$1:$O$47,11)*0.1</f>
        <v>9.1988950279999912E-2</v>
      </c>
      <c r="F5" s="3">
        <f>VLOOKUP($A5,labour_force_simulation!$A$1:$O$47,14)*0.1</f>
        <v>720235.20000000007</v>
      </c>
      <c r="G5" s="3">
        <f>VLOOKUP($A5,labour_force_simulation!$A$1:$O$47,15)*0.1</f>
        <v>6298</v>
      </c>
    </row>
    <row r="6" spans="1:7" x14ac:dyDescent="0.25">
      <c r="A6">
        <v>2015</v>
      </c>
      <c r="B6" s="2">
        <f>VLOOKUP($A6,labour_force_simulation!$A$1:$O$47,7)*100</f>
        <v>98.2</v>
      </c>
      <c r="C6" s="2">
        <f>VLOOKUP($A6,labour_force_simulation!$A$1:$O$47,9)*100</f>
        <v>0</v>
      </c>
      <c r="D6" s="2">
        <f>VLOOKUP($A6,labour_force_simulation!$A$1:$O$47,10)*100</f>
        <v>3.3660377358490501</v>
      </c>
      <c r="E6" s="3">
        <f>VLOOKUP($A6,labour_force_simulation!$A$1:$O$47,11)*0.1</f>
        <v>9.2703461180000002E-2</v>
      </c>
      <c r="F6" s="3">
        <f>VLOOKUP($A6,labour_force_simulation!$A$1:$O$47,14)*0.1</f>
        <v>708212.5</v>
      </c>
      <c r="G6" s="3">
        <f>VLOOKUP($A6,labour_force_simulation!$A$1:$O$47,15)*0.1</f>
        <v>6402</v>
      </c>
    </row>
    <row r="7" spans="1:7" x14ac:dyDescent="0.25">
      <c r="A7">
        <v>2020</v>
      </c>
      <c r="B7" s="2">
        <f>VLOOKUP($A7,labour_force_simulation!$A$1:$O$47,7)*100</f>
        <v>100</v>
      </c>
      <c r="C7" s="2">
        <f>VLOOKUP($A7,labour_force_simulation!$A$1:$O$47,9)*100</f>
        <v>0</v>
      </c>
      <c r="D7" s="2">
        <f>VLOOKUP($A7,labour_force_simulation!$A$1:$O$47,10)*100</f>
        <v>2.7818023761228599</v>
      </c>
      <c r="E7" s="3">
        <f>VLOOKUP($A7,labour_force_simulation!$A$1:$O$47,11)*0.1</f>
        <v>0.1</v>
      </c>
      <c r="F7" s="3">
        <f>VLOOKUP($A7,labour_force_simulation!$A$1:$O$47,14)*0.1</f>
        <v>690200</v>
      </c>
      <c r="G7" s="3">
        <f>VLOOKUP($A7,labour_force_simulation!$A$1:$O$47,15)*0.1</f>
        <v>6710</v>
      </c>
    </row>
    <row r="8" spans="1:7" x14ac:dyDescent="0.25">
      <c r="A8">
        <v>2025</v>
      </c>
      <c r="B8" s="2">
        <f>VLOOKUP($A8,labour_force_simulation!$A$1:$O$47,7)*100</f>
        <v>111.9</v>
      </c>
      <c r="C8" s="2">
        <f>VLOOKUP($A8,labour_force_simulation!$A$1:$O$47,9)*100</f>
        <v>0</v>
      </c>
      <c r="D8" s="2">
        <f>VLOOKUP($A8,labour_force_simulation!$A$1:$O$47,10)*100</f>
        <v>2.5128498001142199</v>
      </c>
      <c r="E8" s="3">
        <f>VLOOKUP($A8,labour_force_simulation!$A$1:$O$47,11)*0.1</f>
        <v>0.11051107979999999</v>
      </c>
      <c r="F8" s="3">
        <f>VLOOKUP($A8,labour_force_simulation!$A$1:$O$47,14)*0.1</f>
        <v>689841.6521040001</v>
      </c>
      <c r="G8" s="3">
        <f>VLOOKUP($A8,labour_force_simulation!$A$1:$O$47,15)*0.1</f>
        <v>6828</v>
      </c>
    </row>
    <row r="9" spans="1:7" x14ac:dyDescent="0.25">
      <c r="A9">
        <v>2030</v>
      </c>
      <c r="B9" s="2">
        <f>VLOOKUP($A9,labour_force_simulation!$A$1:$O$47,7)*100</f>
        <v>119.48013159999999</v>
      </c>
      <c r="C9" s="2">
        <f>VLOOKUP($A9,labour_force_simulation!$A$1:$O$47,9)*100</f>
        <v>2.7871671125194197</v>
      </c>
      <c r="D9" s="2">
        <f>VLOOKUP($A9,labour_force_simulation!$A$1:$O$47,10)*100</f>
        <v>1.7484126022216901</v>
      </c>
      <c r="E9" s="3">
        <f>VLOOKUP($A9,labour_force_simulation!$A$1:$O$47,11)*0.1</f>
        <v>0.12905356238150401</v>
      </c>
      <c r="F9" s="3">
        <f>VLOOKUP($A9,labour_force_simulation!$A$1:$O$47,14)*0.1</f>
        <v>666625.03964738303</v>
      </c>
      <c r="G9" s="3">
        <f>VLOOKUP($A9,labour_force_simulation!$A$1:$O$47,15)*0.1</f>
        <v>7658.9128430508399</v>
      </c>
    </row>
    <row r="10" spans="1:7" x14ac:dyDescent="0.25">
      <c r="A10">
        <v>2035</v>
      </c>
      <c r="B10" s="2">
        <f>VLOOKUP($A10,labour_force_simulation!$A$1:$O$47,7)*100</f>
        <v>126.19770889999999</v>
      </c>
      <c r="C10" s="2">
        <f>VLOOKUP($A10,labour_force_simulation!$A$1:$O$47,9)*100</f>
        <v>0.46452785208657099</v>
      </c>
      <c r="D10" s="2">
        <f>VLOOKUP($A10,labour_force_simulation!$A$1:$O$47,10)*100</f>
        <v>3.3130423189720002</v>
      </c>
      <c r="E10" s="3">
        <f>VLOOKUP($A10,labour_force_simulation!$A$1:$O$47,11)*0.1</f>
        <v>0.13766007478260101</v>
      </c>
      <c r="F10" s="3">
        <f>VLOOKUP($A10,labour_force_simulation!$A$1:$O$47,14)*0.1</f>
        <v>642155.895773347</v>
      </c>
      <c r="G10" s="3">
        <f>VLOOKUP($A10,labour_force_simulation!$A$1:$O$47,15)*0.1</f>
        <v>7284.2877826329805</v>
      </c>
    </row>
    <row r="11" spans="1:7" x14ac:dyDescent="0.25">
      <c r="A11">
        <v>2040</v>
      </c>
      <c r="B11" s="2">
        <f>VLOOKUP($A11,labour_force_simulation!$A$1:$O$47,7)*100</f>
        <v>133.29297099999999</v>
      </c>
      <c r="C11" s="2">
        <f>VLOOKUP($A11,labour_force_simulation!$A$1:$O$47,9)*100</f>
        <v>0</v>
      </c>
      <c r="D11" s="2">
        <f>VLOOKUP($A11,labour_force_simulation!$A$1:$O$47,10)*100</f>
        <v>3.1790681237199698</v>
      </c>
      <c r="E11" s="3">
        <f>VLOOKUP($A11,labour_force_simulation!$A$1:$O$47,11)*0.1</f>
        <v>0.14672201272368099</v>
      </c>
      <c r="F11" s="3">
        <f>VLOOKUP($A11,labour_force_simulation!$A$1:$O$47,14)*0.1</f>
        <v>626446.4585224021</v>
      </c>
      <c r="G11" s="3">
        <f>VLOOKUP($A11,labour_force_simulation!$A$1:$O$47,15)*0.1</f>
        <v>7124.5804083346511</v>
      </c>
    </row>
  </sheetData>
  <phoneticPr fontId="18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labour_force_simulation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2026-05-23T04:11:44Z</dcterms:created>
  <dcterms:modified xsi:type="dcterms:W3CDTF">2026-06-06T06:05:18Z</dcterms:modified>
</cp:coreProperties>
</file>